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三轮全文筛选" sheetId="1" state="visible" r:id="rId1"/>
    <sheet xmlns:r="http://schemas.openxmlformats.org/officeDocument/2006/relationships" name="进度统计" sheetId="2" state="visible" r:id="rId2"/>
    <sheet xmlns:r="http://schemas.openxmlformats.org/officeDocument/2006/relationships" name="PICOS速查" sheetId="3" state="visible" r:id="rId3"/>
  </sheets>
  <definedNames>
    <definedName name="_xlnm._FilterDatabase" localSheetId="0" hidden="1">'第三轮全文筛选'!$A$1:$J$72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FFFFFFFF"/>
      <sz val="10"/>
    </font>
    <font>
      <color rgb="FF000000"/>
      <sz val="10"/>
    </font>
    <font>
      <b val="1"/>
      <color rgb="FF2F5496"/>
      <sz val="13"/>
    </font>
    <font>
      <b val="1"/>
      <sz val="10"/>
    </font>
    <font>
      <sz val="10"/>
    </font>
    <font>
      <b val="1"/>
      <color rgb="FF375623"/>
      <sz val="10"/>
    </font>
    <font>
      <b val="1"/>
      <color rgb="FF2F5496"/>
      <sz val="12"/>
    </font>
  </fonts>
  <fills count="7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left" vertical="center"/>
    </xf>
    <xf numFmtId="0" fontId="7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7F6000"/>
      </font>
      <fill>
        <patternFill patternType="solid">
          <f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6" customWidth="1" min="3" max="3"/>
    <col width="14" customWidth="1" min="4" max="4"/>
    <col width="52" customWidth="1" min="5" max="5"/>
    <col width="26" customWidth="1" min="6" max="6"/>
    <col width="30" customWidth="1" min="7" max="7"/>
    <col width="13" customWidth="1" min="8" max="8"/>
    <col width="13" customWidth="1" min="9" max="9"/>
    <col width="35" customWidth="1" min="10" max="10"/>
  </cols>
  <sheetData>
    <row r="1" ht="22" customHeight="1">
      <c r="A1" s="1" t="inlineStr">
        <is>
          <t>#</t>
        </is>
      </c>
      <c r="B1" s="1" t="inlineStr">
        <is>
          <t>第二轮状态</t>
        </is>
      </c>
      <c r="C1" s="1" t="inlineStr">
        <is>
          <t>年份</t>
        </is>
      </c>
      <c r="D1" s="1" t="inlineStr">
        <is>
          <t>第一作者</t>
        </is>
      </c>
      <c r="E1" s="1" t="inlineStr">
        <is>
          <t>标题</t>
        </is>
      </c>
      <c r="F1" s="1" t="inlineStr">
        <is>
          <t>期刊</t>
        </is>
      </c>
      <c r="G1" s="1" t="inlineStr">
        <is>
          <t>DOI</t>
        </is>
      </c>
      <c r="H1" s="1" t="inlineStr">
        <is>
          <t>全文筛选结果</t>
        </is>
      </c>
      <c r="I1" s="1" t="inlineStr">
        <is>
          <t>排除原因</t>
        </is>
      </c>
      <c r="J1" s="1" t="inlineStr">
        <is>
          <t>备注</t>
        </is>
      </c>
    </row>
    <row r="2" ht="30" customHeight="1">
      <c r="A2" s="2" t="n">
        <v>1</v>
      </c>
      <c r="B2" s="2" t="inlineStr">
        <is>
          <t>纳入</t>
        </is>
      </c>
      <c r="C2" s="2" t="n">
        <v>2020</v>
      </c>
      <c r="D2" s="3" t="inlineStr">
        <is>
          <t>L</t>
        </is>
      </c>
      <c r="E2" s="4" t="inlineStr">
        <is>
          <t>The effect of cognitive training in older adults: be aware of CRUNCH.</t>
        </is>
      </c>
      <c r="F2" s="3" t="inlineStr">
        <is>
          <t>Neuropsychology, development, and cognition. Section B, Aging, neuropsychology and cognition</t>
        </is>
      </c>
      <c r="G2" s="3" t="inlineStr">
        <is>
          <t>10.1080/13825585.2019.1708251</t>
        </is>
      </c>
      <c r="H2" s="2" t="inlineStr">
        <is>
          <t>纳入</t>
        </is>
      </c>
      <c r="I2" s="2" t="inlineStr"/>
      <c r="J2" s="3" t="inlineStr">
        <is>
          <t>N=42, 年龄67.9±5.5岁, WM训练(α-span, 2-back, 数字更新), RCT</t>
        </is>
      </c>
    </row>
    <row r="3" ht="30" customHeight="1">
      <c r="A3" s="2" t="n">
        <v>2</v>
      </c>
      <c r="B3" s="2" t="inlineStr">
        <is>
          <t>纳入</t>
        </is>
      </c>
      <c r="C3" s="2" t="n">
        <v>2019</v>
      </c>
      <c r="D3" s="3" t="inlineStr">
        <is>
          <t>E</t>
        </is>
      </c>
      <c r="E3" s="4" t="inlineStr">
        <is>
          <t>Is working memory training in older adults sensitive to music?</t>
        </is>
      </c>
      <c r="F3" s="3" t="inlineStr">
        <is>
          <t>Psychological research</t>
        </is>
      </c>
      <c r="G3" s="3" t="inlineStr">
        <is>
          <t>10.1007/s00426-017-0961-8</t>
        </is>
      </c>
      <c r="H3" s="2" t="inlineStr">
        <is>
          <t>纳入</t>
        </is>
      </c>
      <c r="I3" s="2" t="inlineStr"/>
      <c r="J3" s="3" t="inlineStr">
        <is>
          <t>N=72, 年龄范围65-75岁(论文未报告均值), WM训练+背景音乐, RCT</t>
        </is>
      </c>
    </row>
    <row r="4" ht="30" customHeight="1">
      <c r="A4" s="2" t="n">
        <v>3</v>
      </c>
      <c r="B4" s="2" t="inlineStr">
        <is>
          <t>纳入</t>
        </is>
      </c>
      <c r="C4" s="2" t="n">
        <v>2016</v>
      </c>
      <c r="D4" s="3" t="inlineStr">
        <is>
          <t>T</t>
        </is>
      </c>
      <c r="E4" s="4" t="inlineStr">
        <is>
          <t>Age-specific differences of dual n-back training.</t>
        </is>
      </c>
      <c r="F4" s="3" t="inlineStr">
        <is>
          <t>Neuropsychology, development, and cognition. Section B, Aging, neuropsychology and cognition</t>
        </is>
      </c>
      <c r="G4" s="3" t="inlineStr">
        <is>
          <t>10.1080/13825585.2015.1031723</t>
        </is>
      </c>
      <c r="H4" s="2" t="inlineStr">
        <is>
          <t>纳入</t>
        </is>
      </c>
      <c r="I4" s="2" t="inlineStr"/>
      <c r="J4" s="3" t="inlineStr">
        <is>
          <t>N=46, 均值64.8岁, 双n-back训练, RCT - 修正：均值≥60</t>
        </is>
      </c>
    </row>
    <row r="5" ht="30" customHeight="1">
      <c r="A5" s="2" t="n">
        <v>4</v>
      </c>
      <c r="B5" s="2" t="inlineStr">
        <is>
          <t>纳入</t>
        </is>
      </c>
      <c r="C5" s="2" t="n">
        <v>2015</v>
      </c>
      <c r="D5" s="3" t="inlineStr">
        <is>
          <t>KT</t>
        </is>
      </c>
      <c r="E5" s="4" t="inlineStr">
        <is>
          <t>Longitudinal neurostimulation in older adults improves working memory.</t>
        </is>
      </c>
      <c r="F5" s="3" t="inlineStr">
        <is>
          <t>PloS one</t>
        </is>
      </c>
      <c r="G5" s="3" t="inlineStr">
        <is>
          <t>10.1371/journal.pone.0121904</t>
        </is>
      </c>
      <c r="H5" s="2" t="inlineStr">
        <is>
          <t>纳入</t>
        </is>
      </c>
      <c r="I5" s="2" t="inlineStr"/>
      <c r="J5" s="3" t="inlineStr">
        <is>
          <t>N=72, 均值64.38岁, WM训练+tDCS, RCT - 修正：均值≥60</t>
        </is>
      </c>
    </row>
    <row r="6" ht="30" customHeight="1">
      <c r="A6" s="2" t="n">
        <v>5</v>
      </c>
      <c r="B6" s="2" t="inlineStr">
        <is>
          <t>纳入</t>
        </is>
      </c>
      <c r="C6" s="2" t="n">
        <v>2018</v>
      </c>
      <c r="D6" s="3" t="inlineStr">
        <is>
          <t>V</t>
        </is>
      </c>
      <c r="E6" s="4" t="inlineStr">
        <is>
          <t>N-back training and transfer effects revealed by behavioral responses and EEG.</t>
        </is>
      </c>
      <c r="F6" s="3" t="inlineStr">
        <is>
          <t>Brain and behavior</t>
        </is>
      </c>
      <c r="G6" s="3" t="inlineStr">
        <is>
          <t>10.1002/brb3.1136</t>
        </is>
      </c>
      <c r="H6" s="2" t="inlineStr">
        <is>
          <t>纳入</t>
        </is>
      </c>
      <c r="I6" s="2" t="inlineStr"/>
      <c r="J6" s="3" t="inlineStr">
        <is>
          <t>N=28老年人, 均值63.11岁, n-back训练+EEG, RCT - 混合研究老年人组符合</t>
        </is>
      </c>
    </row>
    <row r="7" ht="30" customHeight="1">
      <c r="A7" s="2" t="n">
        <v>6</v>
      </c>
      <c r="B7" s="2" t="inlineStr">
        <is>
          <t>纳入</t>
        </is>
      </c>
      <c r="C7" s="2" t="n">
        <v>2020</v>
      </c>
      <c r="D7" s="3" t="inlineStr">
        <is>
          <t>PS</t>
        </is>
      </c>
      <c r="E7" s="4" t="inlineStr">
        <is>
          <t>Verbal working memory training in older adults: an investigation of dose response.</t>
        </is>
      </c>
      <c r="F7" s="3" t="inlineStr">
        <is>
          <t>Aging &amp; mental health</t>
        </is>
      </c>
      <c r="G7" s="3" t="inlineStr">
        <is>
          <t>10.1080/13607863.2018.1531372</t>
        </is>
      </c>
      <c r="H7" s="2" t="inlineStr">
        <is>
          <t>纳入</t>
        </is>
      </c>
      <c r="I7" s="2" t="inlineStr"/>
      <c r="J7" s="3" t="inlineStr">
        <is>
          <t>N=46, 均值67.17岁, 口头WM训练, RCT</t>
        </is>
      </c>
    </row>
    <row r="8" ht="30" customHeight="1">
      <c r="A8" s="2" t="n">
        <v>7</v>
      </c>
      <c r="B8" s="2" t="inlineStr">
        <is>
          <t>纳入</t>
        </is>
      </c>
      <c r="C8" s="2" t="n">
        <v>2020</v>
      </c>
      <c r="D8" s="3" t="inlineStr">
        <is>
          <t>HK</t>
        </is>
      </c>
      <c r="E8" s="4" t="inlineStr">
        <is>
          <t>Home-Based, Adaptive Cognitive Training for Cognitively Normal Older adults: Initial Efficacy Trial.</t>
        </is>
      </c>
      <c r="F8" s="3" t="inlineStr">
        <is>
          <t>The journals of gerontology. Series B, Psychological sciences and social sciences</t>
        </is>
      </c>
      <c r="G8" s="3" t="inlineStr">
        <is>
          <t>10.1093/geronb/gbz073</t>
        </is>
      </c>
      <c r="H8" s="2" t="inlineStr">
        <is>
          <t>排除</t>
        </is>
      </c>
      <c r="I8" s="2" t="inlineStr">
        <is>
          <t>E2-干预不符</t>
        </is>
      </c>
      <c r="J8" s="3" t="inlineStr">
        <is>
          <t>BrainHQ为多域认知训练(处理速度为主)，WM非主要成分且未单独报告WM效果</t>
        </is>
      </c>
    </row>
    <row r="9" ht="30" customHeight="1">
      <c r="A9" s="2" t="n">
        <v>8</v>
      </c>
      <c r="B9" s="2" t="inlineStr">
        <is>
          <t>纳入</t>
        </is>
      </c>
      <c r="C9" s="2" t="n">
        <v>2025</v>
      </c>
      <c r="D9" s="3" t="inlineStr">
        <is>
          <t>P</t>
        </is>
      </c>
      <c r="E9" s="4" t="inlineStr">
        <is>
          <t>Gamified working memory intervention enhances prefrontal neurocognitive plasticity during aging.</t>
        </is>
      </c>
      <c r="F9" s="3" t="inlineStr">
        <is>
          <t>Psychology and aging</t>
        </is>
      </c>
      <c r="G9" s="3" t="inlineStr">
        <is>
          <t>10.1037/pag0000895</t>
        </is>
      </c>
      <c r="H9" s="2" t="inlineStr">
        <is>
          <t>纳入</t>
        </is>
      </c>
      <c r="I9" s="2" t="inlineStr"/>
      <c r="J9" s="3" t="inlineStr">
        <is>
          <t>N=76, 年龄60-85岁, 游戏化WM训练(n-back类), RCT+MRI</t>
        </is>
      </c>
    </row>
    <row r="10" ht="30" customHeight="1">
      <c r="A10" s="2" t="n">
        <v>9</v>
      </c>
      <c r="B10" s="2" t="inlineStr">
        <is>
          <t>纳入</t>
        </is>
      </c>
      <c r="C10" s="2" t="n">
        <v>2017</v>
      </c>
      <c r="D10" s="3" t="inlineStr">
        <is>
          <t>S</t>
        </is>
      </c>
      <c r="E10" s="4" t="inlineStr">
        <is>
          <t>Working memory training in older adults: Bayesian evidence supporting the absence of transfer.</t>
        </is>
      </c>
      <c r="F10" s="3" t="inlineStr">
        <is>
          <t>Psychology and aging</t>
        </is>
      </c>
      <c r="G10" s="3" t="inlineStr">
        <is>
          <t>10.1037/pag0000206</t>
        </is>
      </c>
      <c r="H10" s="2" t="inlineStr">
        <is>
          <t>纳入</t>
        </is>
      </c>
      <c r="I10" s="2" t="inlineStr"/>
      <c r="J10" s="3" t="inlineStr">
        <is>
          <t>N=142, 均值70.35±3.66岁(65-80), WM训练(binding+spatial WM), Bayesian分析，无迁移效应</t>
        </is>
      </c>
    </row>
    <row r="11" ht="30" customHeight="1">
      <c r="A11" s="2" t="n">
        <v>10</v>
      </c>
      <c r="B11" s="2" t="inlineStr">
        <is>
          <t>纳入</t>
        </is>
      </c>
      <c r="C11" s="2" t="n">
        <v>2022</v>
      </c>
      <c r="D11" s="3" t="inlineStr">
        <is>
          <t>AC</t>
        </is>
      </c>
      <c r="E11" s="4" t="inlineStr">
        <is>
          <t>Working Memory Training Coupled With Transcranial Direct Current Stimulation in Older Adults: A Randomized Controlled Experiment.</t>
        </is>
      </c>
      <c r="F11" s="3" t="inlineStr">
        <is>
          <t>Frontiers in aging neuroscience</t>
        </is>
      </c>
      <c r="G11" s="3" t="inlineStr">
        <is>
          <t>10.3389/fnagi.2022.827188</t>
        </is>
      </c>
      <c r="H11" s="2" t="inlineStr">
        <is>
          <t>纳入</t>
        </is>
      </c>
      <c r="I11" s="2" t="inlineStr"/>
      <c r="J11" s="3" t="inlineStr">
        <is>
          <t>N=54, 均值68.20±5.92岁, WM训练+tDCS, RCT - 已确认均值≥60</t>
        </is>
      </c>
    </row>
    <row r="12" ht="30" customHeight="1">
      <c r="A12" s="2" t="n">
        <v>11</v>
      </c>
      <c r="B12" s="2" t="inlineStr">
        <is>
          <t>纳入</t>
        </is>
      </c>
      <c r="C12" s="2" t="n">
        <v>2016</v>
      </c>
      <c r="D12" s="3" t="inlineStr">
        <is>
          <t>RV</t>
        </is>
      </c>
      <c r="E12" s="4" t="inlineStr">
        <is>
          <t>Working Memory Training and Speech in Noise Comprehension in Older Adults.</t>
        </is>
      </c>
      <c r="F12" s="3" t="inlineStr">
        <is>
          <t>Frontiers in aging neuroscience</t>
        </is>
      </c>
      <c r="G12" s="3" t="inlineStr">
        <is>
          <t>10.3389/fnagi.2016.00049</t>
        </is>
      </c>
      <c r="H12" s="2" t="inlineStr">
        <is>
          <t>纳入</t>
        </is>
      </c>
      <c r="I12" s="2" t="inlineStr"/>
      <c r="J12" s="3" t="inlineStr">
        <is>
          <t>约69.9岁, WM训练</t>
        </is>
      </c>
    </row>
    <row r="13" ht="30" customHeight="1">
      <c r="A13" s="2" t="n">
        <v>12</v>
      </c>
      <c r="B13" s="2" t="inlineStr">
        <is>
          <t>纳入</t>
        </is>
      </c>
      <c r="C13" s="2" t="n">
        <v>2016</v>
      </c>
      <c r="D13" s="3" t="inlineStr">
        <is>
          <t>JA</t>
        </is>
      </c>
      <c r="E13" s="4" t="inlineStr">
        <is>
          <t>Older Adults Improve on Everyday Tasks after Working Memory Training and Neurostimulation.</t>
        </is>
      </c>
      <c r="F13" s="3" t="inlineStr">
        <is>
          <t>Brain stimulation</t>
        </is>
      </c>
      <c r="G13" s="3" t="inlineStr">
        <is>
          <t>10.1016/j.brs.2016.04.001</t>
        </is>
      </c>
      <c r="H13" s="2" t="inlineStr">
        <is>
          <t>纳入</t>
        </is>
      </c>
      <c r="I13" s="2" t="inlineStr"/>
      <c r="J13" s="3" t="inlineStr">
        <is>
          <t>约69.9岁, WM训练</t>
        </is>
      </c>
    </row>
    <row r="14" ht="30" customHeight="1">
      <c r="A14" s="2" t="n">
        <v>13</v>
      </c>
      <c r="B14" s="2" t="inlineStr">
        <is>
          <t>纳入</t>
        </is>
      </c>
      <c r="C14" s="2" t="n">
        <v>2019</v>
      </c>
      <c r="D14" s="3" t="inlineStr">
        <is>
          <t>O</t>
        </is>
      </c>
      <c r="E14" s="4" t="inlineStr">
        <is>
          <t>Working Memory Capacity as a Predictor of Cognitive Training Efficacy in the Elderly Population.</t>
        </is>
      </c>
      <c r="F14" s="3" t="inlineStr">
        <is>
          <t>Frontiers in aging neuroscience</t>
        </is>
      </c>
      <c r="G14" s="3" t="inlineStr">
        <is>
          <t>10.3389/fnagi.2019.00126</t>
        </is>
      </c>
      <c r="H14" s="2" t="inlineStr">
        <is>
          <t>不确定</t>
        </is>
      </c>
      <c r="I14" s="2" t="inlineStr"/>
      <c r="J14" s="3" t="inlineStr">
        <is>
          <t>范围55-81岁，需找Table 1均值M判断</t>
        </is>
      </c>
    </row>
    <row r="15" ht="30" customHeight="1">
      <c r="A15" s="2" t="n">
        <v>14</v>
      </c>
      <c r="B15" s="2" t="inlineStr">
        <is>
          <t>纳入</t>
        </is>
      </c>
      <c r="C15" s="2" t="n">
        <v>2021</v>
      </c>
      <c r="D15" s="3" t="inlineStr">
        <is>
          <t>P</t>
        </is>
      </c>
      <c r="E15" s="4" t="inlineStr">
        <is>
          <t>Cognitive Aftereffects of Acute tDCS Coupled with Cognitive Training: An fMRI Study in Healthy Seniors.</t>
        </is>
      </c>
      <c r="F15" s="3" t="inlineStr">
        <is>
          <t>Neural plasticity</t>
        </is>
      </c>
      <c r="G15" s="3" t="inlineStr">
        <is>
          <t>10.1155/2021/6664479</t>
        </is>
      </c>
      <c r="H15" s="2" t="inlineStr">
        <is>
          <t>纳入</t>
        </is>
      </c>
      <c r="I15" s="2" t="inlineStr"/>
      <c r="J15" s="3" t="inlineStr">
        <is>
          <t>N=25, 均值68.84±4.65岁, VWM训练+tDCS, 含fMRI, 有行为结局</t>
        </is>
      </c>
    </row>
    <row r="16" ht="30" customHeight="1">
      <c r="A16" s="2" t="n">
        <v>15</v>
      </c>
      <c r="B16" s="2" t="inlineStr">
        <is>
          <t>纳入</t>
        </is>
      </c>
      <c r="C16" s="2" t="n">
        <v>2019</v>
      </c>
      <c r="D16" s="3" t="inlineStr">
        <is>
          <t>E</t>
        </is>
      </c>
      <c r="E16" s="4" t="inlineStr">
        <is>
          <t>Improving Everyday Functioning in the Old-Old with Working Memory Training.</t>
        </is>
      </c>
      <c r="F16" s="3" t="inlineStr">
        <is>
          <t>The American journal of geriatric psychiatry : official journal of the American Association for Geriatric Psychiatry</t>
        </is>
      </c>
      <c r="G16" s="3" t="inlineStr">
        <is>
          <t>10.1016/j.jagp.2019.01.210</t>
        </is>
      </c>
      <c r="H16" s="2" t="inlineStr">
        <is>
          <t>纳入</t>
        </is>
      </c>
      <c r="I16" s="2" t="inlineStr"/>
      <c r="J16" s="3" t="inlineStr">
        <is>
          <t>≥75岁，老年人，WM span</t>
        </is>
      </c>
    </row>
    <row r="17" ht="30" customHeight="1">
      <c r="A17" s="2" t="n">
        <v>16</v>
      </c>
      <c r="B17" s="2" t="inlineStr">
        <is>
          <t>纳入</t>
        </is>
      </c>
      <c r="C17" s="2" t="n">
        <v>2020</v>
      </c>
      <c r="D17" s="3" t="inlineStr">
        <is>
          <t>O</t>
        </is>
      </c>
      <c r="E17" s="4" t="inlineStr">
        <is>
          <t>Working Memory Training for Older Participants: A Control Group Training Regimen and Initial Intellectual Functioning Assessment.</t>
        </is>
      </c>
      <c r="F17" s="3" t="inlineStr">
        <is>
          <t>Journal of visualized experiments : JoVE</t>
        </is>
      </c>
      <c r="G17" s="3" t="inlineStr">
        <is>
          <t>10.3791/60804</t>
        </is>
      </c>
      <c r="H17" s="2" t="inlineStr">
        <is>
          <t>纳入</t>
        </is>
      </c>
      <c r="I17" s="2" t="inlineStr"/>
      <c r="J17" s="3" t="inlineStr">
        <is>
          <t>66.7岁，n-back训练</t>
        </is>
      </c>
    </row>
    <row r="18" ht="30" customHeight="1">
      <c r="A18" s="2" t="n">
        <v>17</v>
      </c>
      <c r="B18" s="2" t="inlineStr">
        <is>
          <t>纳入</t>
        </is>
      </c>
      <c r="C18" s="2" t="n">
        <v>2010</v>
      </c>
      <c r="D18" s="3" t="inlineStr">
        <is>
          <t>E</t>
        </is>
      </c>
      <c r="E18" s="4" t="inlineStr">
        <is>
          <t>Working memory training in older adults: evidence of transfer and maintenance effects.</t>
        </is>
      </c>
      <c r="F18" s="3" t="inlineStr">
        <is>
          <t>Psychology and aging</t>
        </is>
      </c>
      <c r="G18" s="3" t="inlineStr">
        <is>
          <t>10.1037/a0020683</t>
        </is>
      </c>
      <c r="H18" s="2" t="inlineStr">
        <is>
          <t>排除</t>
        </is>
      </c>
      <c r="I18" s="2" t="inlineStr">
        <is>
          <t>E1-人群不符</t>
        </is>
      </c>
      <c r="J18" s="3" t="inlineStr">
        <is>
          <t>均值27.0岁, n-back</t>
        </is>
      </c>
    </row>
    <row r="19" ht="30" customHeight="1">
      <c r="A19" s="2" t="n">
        <v>18</v>
      </c>
      <c r="B19" s="2" t="inlineStr">
        <is>
          <t>纳入</t>
        </is>
      </c>
      <c r="C19" s="2" t="n">
        <v>2014</v>
      </c>
      <c r="D19" s="3" t="inlineStr">
        <is>
          <t>S</t>
        </is>
      </c>
      <c r="E19" s="4" t="inlineStr">
        <is>
          <t>Working memory training improvements and gains in non-trained cognitive tasks in young and older adults.</t>
        </is>
      </c>
      <c r="F19" s="3" t="inlineStr">
        <is>
          <t>Neuropsychology, development, and cognition. Section B, Aging, neuropsychology and cognition</t>
        </is>
      </c>
      <c r="G19" s="3" t="inlineStr">
        <is>
          <t>10.1080/13825585.2013.790338</t>
        </is>
      </c>
      <c r="H19" s="2" t="inlineStr">
        <is>
          <t>纳入</t>
        </is>
      </c>
      <c r="I19" s="2" t="inlineStr"/>
      <c r="J19" s="3" t="inlineStr">
        <is>
          <t>79.22岁(75-87岁)，WM训练</t>
        </is>
      </c>
    </row>
    <row r="20" ht="30" customHeight="1">
      <c r="A20" s="2" t="n">
        <v>19</v>
      </c>
      <c r="B20" s="2" t="inlineStr">
        <is>
          <t>纳入</t>
        </is>
      </c>
      <c r="C20" s="2" t="n">
        <v>2013</v>
      </c>
      <c r="D20" s="3" t="inlineStr">
        <is>
          <t>E</t>
        </is>
      </c>
      <c r="E20" s="4" t="inlineStr">
        <is>
          <t>Working memory training in old age: an examination of transfer and maintenance effects.</t>
        </is>
      </c>
      <c r="F20" s="3" t="inlineStr">
        <is>
          <t>Archives of clinical neuropsychology : the official journal of the National Academy of Neuropsychologists</t>
        </is>
      </c>
      <c r="G20" s="3" t="inlineStr">
        <is>
          <t>10.1093/arclin/act020</t>
        </is>
      </c>
      <c r="H20" s="2" t="inlineStr">
        <is>
          <t>纳入</t>
        </is>
      </c>
      <c r="I20" s="2" t="inlineStr"/>
      <c r="J20" s="3" t="inlineStr">
        <is>
          <t>均值未报告，年龄范围75-87岁(估算约81岁), WM训练</t>
        </is>
      </c>
    </row>
    <row r="21" ht="30" customHeight="1">
      <c r="A21" s="2" t="n">
        <v>20</v>
      </c>
      <c r="B21" s="2" t="inlineStr">
        <is>
          <t>纳入</t>
        </is>
      </c>
      <c r="C21" s="2" t="n">
        <v>2020</v>
      </c>
      <c r="D21" s="3" t="inlineStr">
        <is>
          <t>F</t>
        </is>
      </c>
      <c r="E21" s="4" t="inlineStr">
        <is>
          <t>Feasibility of using a computer-assisted working memory training program for healthy older women.</t>
        </is>
      </c>
      <c r="F21" s="3" t="inlineStr">
        <is>
          <t>Cognitive processing</t>
        </is>
      </c>
      <c r="G21" s="3" t="inlineStr">
        <is>
          <t>10.1007/s10339-020-00975-7</t>
        </is>
      </c>
      <c r="H21" s="2" t="inlineStr">
        <is>
          <t>纳入</t>
        </is>
      </c>
      <c r="I21" s="2" t="inlineStr"/>
      <c r="J21" s="3" t="inlineStr">
        <is>
          <t>认知训练，需确认是否WM</t>
        </is>
      </c>
    </row>
    <row r="22" ht="30" customHeight="1">
      <c r="A22" s="2" t="n">
        <v>21</v>
      </c>
      <c r="B22" s="2" t="inlineStr">
        <is>
          <t>纳入</t>
        </is>
      </c>
      <c r="C22" s="2" t="n">
        <v>2018</v>
      </c>
      <c r="D22" s="3" t="inlineStr">
        <is>
          <t>B</t>
        </is>
      </c>
      <c r="E22" s="4" t="inlineStr">
        <is>
          <t>The Effects of Cognitive Training on Cognitive Abilities and Everyday Function: A 10-Week Randomized Controlled Trial.</t>
        </is>
      </c>
      <c r="F22" s="3" t="inlineStr">
        <is>
          <t>International journal of aging &amp; human development</t>
        </is>
      </c>
      <c r="G22" s="3" t="inlineStr">
        <is>
          <t>10.1177/0091415017697725</t>
        </is>
      </c>
      <c r="H22" s="2" t="inlineStr">
        <is>
          <t>纳入</t>
        </is>
      </c>
      <c r="I22" s="2" t="inlineStr"/>
      <c r="J22" s="3" t="inlineStr">
        <is>
          <t>N=86, 均值68.55岁(60-83), 空间WM+数字WM训练, RCT</t>
        </is>
      </c>
    </row>
    <row r="23" ht="30" customHeight="1">
      <c r="A23" s="2" t="n">
        <v>22</v>
      </c>
      <c r="B23" s="2" t="inlineStr">
        <is>
          <t>纳入</t>
        </is>
      </c>
      <c r="C23" s="2" t="n">
        <v>2022</v>
      </c>
      <c r="D23" s="3" t="inlineStr">
        <is>
          <t>EM</t>
        </is>
      </c>
      <c r="E23" s="4" t="inlineStr">
        <is>
          <t>Higher white matter hyperintensity load adversely affects pre-post proximal cognitive training performance in healthy older adults.</t>
        </is>
      </c>
      <c r="F23" s="3" t="inlineStr">
        <is>
          <t>GeroScience</t>
        </is>
      </c>
      <c r="G23" s="3" t="inlineStr">
        <is>
          <t>10.1007/s11357-022-00538-y</t>
        </is>
      </c>
      <c r="H23" s="2" t="inlineStr">
        <is>
          <t>纳入</t>
        </is>
      </c>
      <c r="I23" s="2" t="inlineStr"/>
      <c r="J23" s="3" t="inlineStr">
        <is>
          <t>均值71岁, WM span训练</t>
        </is>
      </c>
    </row>
    <row r="24" ht="30" customHeight="1">
      <c r="A24" s="2" t="n">
        <v>23</v>
      </c>
      <c r="B24" s="2" t="inlineStr">
        <is>
          <t>纳入</t>
        </is>
      </c>
      <c r="C24" s="2" t="n">
        <v>2024</v>
      </c>
      <c r="D24" s="3" t="inlineStr">
        <is>
          <t>LV</t>
        </is>
      </c>
      <c r="E24" s="4" t="inlineStr">
        <is>
          <t>Youth-like brain activation linked with greater cognitive training gains in older adults: Insights from the ACTOP study.</t>
        </is>
      </c>
      <c r="F24" s="3" t="inlineStr">
        <is>
          <t>Cortex; a journal devoted to the study of the nervous system and behavior</t>
        </is>
      </c>
      <c r="G24" s="3" t="inlineStr">
        <is>
          <t>10.1016/j.cortex.2024.04.013</t>
        </is>
      </c>
      <c r="H24" s="2" t="inlineStr">
        <is>
          <t>纳入</t>
        </is>
      </c>
      <c r="I24" s="2" t="inlineStr"/>
      <c r="J24" s="3" t="inlineStr">
        <is>
          <t>60-85岁，估算72.5岁，WM span训练</t>
        </is>
      </c>
    </row>
    <row r="25" ht="30" customHeight="1">
      <c r="A25" s="2" t="n">
        <v>24</v>
      </c>
      <c r="B25" s="2" t="inlineStr">
        <is>
          <t>纳入</t>
        </is>
      </c>
      <c r="C25" s="2" t="n">
        <v>2022</v>
      </c>
      <c r="D25" s="3" t="inlineStr">
        <is>
          <t>CF</t>
        </is>
      </c>
      <c r="E25" s="4" t="inlineStr">
        <is>
          <t>Training attentive individuation leads to visuo-spatial working memory improvement in low-performing older adults: An online study.</t>
        </is>
      </c>
      <c r="F25" s="3" t="inlineStr">
        <is>
          <t>Attention, perception &amp; psychophysics</t>
        </is>
      </c>
      <c r="G25" s="3" t="inlineStr">
        <is>
          <t>10.3758/s13414-022-02580-6</t>
        </is>
      </c>
      <c r="H25" s="2" t="inlineStr">
        <is>
          <t>纳入</t>
        </is>
      </c>
      <c r="I25" s="2" t="inlineStr"/>
      <c r="J25" s="3" t="inlineStr">
        <is>
          <t>N=104, 均值68.2岁, 视觉注意训练改善空间WM, 在线研究</t>
        </is>
      </c>
    </row>
    <row r="26" ht="30" customHeight="1">
      <c r="A26" s="2" t="n">
        <v>25</v>
      </c>
      <c r="B26" s="2" t="inlineStr">
        <is>
          <t>纳入</t>
        </is>
      </c>
      <c r="C26" s="2" t="n">
        <v>2014</v>
      </c>
      <c r="D26" s="3" t="inlineStr">
        <is>
          <t>K</t>
        </is>
      </c>
      <c r="E26" s="4" t="inlineStr">
        <is>
          <t>Working memory training and transfer in older adults: effects of age, baseline performance, and training gains.</t>
        </is>
      </c>
      <c r="F26" s="3" t="inlineStr">
        <is>
          <t>Developmental psychology</t>
        </is>
      </c>
      <c r="G26" s="3" t="inlineStr">
        <is>
          <t>10.1037/a0032982</t>
        </is>
      </c>
      <c r="H26" s="2" t="inlineStr">
        <is>
          <t>纳入</t>
        </is>
      </c>
      <c r="I26" s="2" t="inlineStr"/>
      <c r="J26" s="3" t="inlineStr">
        <is>
          <t>65-95岁，估算80岁，WM训练</t>
        </is>
      </c>
    </row>
    <row r="27" ht="30" customHeight="1">
      <c r="A27" s="2" t="n">
        <v>26</v>
      </c>
      <c r="B27" s="2" t="inlineStr">
        <is>
          <t>纳入</t>
        </is>
      </c>
      <c r="C27" s="2" t="n">
        <v>2020</v>
      </c>
      <c r="D27" s="3" t="inlineStr">
        <is>
          <t>S</t>
        </is>
      </c>
      <c r="E27" s="4" t="inlineStr">
        <is>
          <t>The Impact of Working Memory Training on Cognitive Abilities in Older Adults: The Role of Cognitive Reserve.</t>
        </is>
      </c>
      <c r="F27" s="3" t="inlineStr">
        <is>
          <t>Current aging science</t>
        </is>
      </c>
      <c r="G27" s="3" t="inlineStr">
        <is>
          <t>10.2174/1874609812666190819125542</t>
        </is>
      </c>
      <c r="H27" s="2" t="inlineStr">
        <is>
          <t>纳入</t>
        </is>
      </c>
      <c r="I27" s="2" t="inlineStr"/>
      <c r="J27" s="3" t="inlineStr">
        <is>
          <t>65-75岁，估算70岁，WM训练</t>
        </is>
      </c>
    </row>
    <row r="28" ht="30" customHeight="1">
      <c r="A28" s="2" t="n">
        <v>27</v>
      </c>
      <c r="B28" s="2" t="inlineStr">
        <is>
          <t>纳入</t>
        </is>
      </c>
      <c r="C28" s="2" t="n">
        <v>2024</v>
      </c>
      <c r="D28" s="3" t="inlineStr">
        <is>
          <t>L</t>
        </is>
      </c>
      <c r="E28" s="4" t="inlineStr">
        <is>
          <t>Limited training and transfer effects in older and young adults who participated in 12 sessions of process-based working memory training. A three-armed pretest-posttest design study.</t>
        </is>
      </c>
      <c r="F28" s="3" t="inlineStr">
        <is>
          <t>BMC research notes</t>
        </is>
      </c>
      <c r="G28" s="3" t="inlineStr">
        <is>
          <t>10.1186/s13104-024-06844-2</t>
        </is>
      </c>
      <c r="H28" s="2" t="inlineStr">
        <is>
          <t>纳入</t>
        </is>
      </c>
      <c r="I28" s="2" t="inlineStr"/>
      <c r="J28" s="3" t="inlineStr">
        <is>
          <t>60-75岁，估算67.5岁，WM训练</t>
        </is>
      </c>
    </row>
    <row r="29" ht="30" customHeight="1">
      <c r="A29" s="2" t="n">
        <v>28</v>
      </c>
      <c r="B29" s="2" t="inlineStr">
        <is>
          <t>纳入</t>
        </is>
      </c>
      <c r="C29" s="2" t="n">
        <v>2020</v>
      </c>
      <c r="D29" s="3" t="inlineStr">
        <is>
          <t>SM</t>
        </is>
      </c>
      <c r="E29" s="4" t="inlineStr">
        <is>
          <t>Investigating the Effects of Spacing on Working Memory Training Outcome: A Randomized, Controlled, Multisite Trial in Older Adults.</t>
        </is>
      </c>
      <c r="F29" s="3" t="inlineStr">
        <is>
          <t>The journals of gerontology. Series B, Psychological sciences and social sciences</t>
        </is>
      </c>
      <c r="G29" s="3" t="inlineStr">
        <is>
          <t>10.1093/geronb/gbz090</t>
        </is>
      </c>
      <c r="H29" s="2" t="inlineStr">
        <is>
          <t>纳入</t>
        </is>
      </c>
      <c r="I29" s="2" t="inlineStr"/>
      <c r="J29" s="3" t="inlineStr">
        <is>
          <t>N=183, 入组≥65岁(均值未在正文报告), n-back训练, RCT多中心</t>
        </is>
      </c>
    </row>
    <row r="30" ht="30" customHeight="1">
      <c r="A30" s="2" t="n">
        <v>29</v>
      </c>
      <c r="B30" s="2" t="inlineStr">
        <is>
          <t>纳入</t>
        </is>
      </c>
      <c r="C30" s="2" t="n">
        <v>2014</v>
      </c>
      <c r="D30" s="3" t="inlineStr">
        <is>
          <t>CN</t>
        </is>
      </c>
      <c r="E30" s="4" t="inlineStr">
        <is>
          <t>Individual differences in cognitive plasticity: an investigation of training curves in younger and older adults.</t>
        </is>
      </c>
      <c r="F30" s="3" t="inlineStr">
        <is>
          <t>Psychological research</t>
        </is>
      </c>
      <c r="G30" s="3" t="inlineStr">
        <is>
          <t>10.1007/s00426-014-0559-3</t>
        </is>
      </c>
      <c r="H30" s="2" t="inlineStr">
        <is>
          <t>纳入</t>
        </is>
      </c>
      <c r="I30" s="2" t="inlineStr"/>
      <c r="J30" s="3" t="inlineStr">
        <is>
          <t>老年组N=65, 均值67.64-68.61岁(60-84), N-back WM训练, 含年轻-老年对比</t>
        </is>
      </c>
    </row>
    <row r="31" ht="30" customHeight="1">
      <c r="A31" s="2" t="n">
        <v>30</v>
      </c>
      <c r="B31" s="2" t="inlineStr">
        <is>
          <t>纳入</t>
        </is>
      </c>
      <c r="C31" s="2" t="n">
        <v>2017</v>
      </c>
      <c r="D31" s="3" t="inlineStr">
        <is>
          <t>A</t>
        </is>
      </c>
      <c r="E31" s="4" t="inlineStr">
        <is>
          <t>Benefits in tasks related to everyday life competences after a working memory training in older adults.</t>
        </is>
      </c>
      <c r="F31" s="3" t="inlineStr">
        <is>
          <t>International journal of geriatric psychiatry</t>
        </is>
      </c>
      <c r="G31" s="3" t="inlineStr">
        <is>
          <t>10.1002/gps.4448</t>
        </is>
      </c>
      <c r="H31" s="2" t="inlineStr">
        <is>
          <t>纳入</t>
        </is>
      </c>
      <c r="I31" s="2" t="inlineStr"/>
      <c r="J31" s="3" t="inlineStr">
        <is>
          <t>N=36(训练18+对照18), 均值69.50/69.77岁, WM span训练, 日常功能迁移</t>
        </is>
      </c>
    </row>
    <row r="32" ht="30" customHeight="1">
      <c r="A32" s="2" t="n">
        <v>31</v>
      </c>
      <c r="B32" s="2" t="inlineStr">
        <is>
          <t>纳入</t>
        </is>
      </c>
      <c r="C32" s="2" t="n">
        <v>2013</v>
      </c>
      <c r="D32" s="3" t="inlineStr">
        <is>
          <t>B</t>
        </is>
      </c>
      <c r="E32" s="4" t="inlineStr">
        <is>
          <t>Gains in language comprehension relating to working memory training in healthy older adults.</t>
        </is>
      </c>
      <c r="F32" s="3" t="inlineStr">
        <is>
          <t>International journal of geriatric psychiatry</t>
        </is>
      </c>
      <c r="G32" s="3" t="inlineStr">
        <is>
          <t>10.1002/gps.3859</t>
        </is>
      </c>
      <c r="H32" s="2" t="inlineStr">
        <is>
          <t>纳入</t>
        </is>
      </c>
      <c r="I32" s="2" t="inlineStr"/>
      <c r="J32" s="3" t="inlineStr">
        <is>
          <t>均值70.0岁, WM span</t>
        </is>
      </c>
    </row>
    <row r="33" ht="30" customHeight="1">
      <c r="A33" s="2" t="n">
        <v>32</v>
      </c>
      <c r="B33" s="2" t="inlineStr">
        <is>
          <t>纳入</t>
        </is>
      </c>
      <c r="C33" s="2" t="n">
        <v>2014</v>
      </c>
      <c r="D33" s="3" t="inlineStr">
        <is>
          <t>SH</t>
        </is>
      </c>
      <c r="E33" s="4" t="inlineStr">
        <is>
          <t>Long-term effects of transcranial direct current stimulation combined with computer-assisted cognitive training in healthy older adults.</t>
        </is>
      </c>
      <c r="F33" s="3" t="inlineStr">
        <is>
          <t>Neuroreport</t>
        </is>
      </c>
      <c r="G33" s="3" t="inlineStr">
        <is>
          <t>10.1097/WNR.0000000000000080</t>
        </is>
      </c>
      <c r="H33" s="2" t="inlineStr">
        <is>
          <t>纳入</t>
        </is>
      </c>
      <c r="I33" s="2" t="inlineStr"/>
      <c r="J33" s="3" t="inlineStr">
        <is>
          <t>N=40, 均值69.7岁(≥65), WM训练+tDCS, 10次session, 长期随访</t>
        </is>
      </c>
    </row>
    <row r="34" ht="30" customHeight="1">
      <c r="A34" s="2" t="n">
        <v>33</v>
      </c>
      <c r="B34" s="2" t="inlineStr">
        <is>
          <t>纳入</t>
        </is>
      </c>
      <c r="C34" s="2" t="n">
        <v>2014</v>
      </c>
      <c r="D34" s="3" t="inlineStr">
        <is>
          <t>M</t>
        </is>
      </c>
      <c r="E34" s="4" t="inlineStr">
        <is>
          <t>Neurocognitive enhancement in older adults: comparison of three cognitive training tasks to test a hypothesis of training transfer in brain connectivity.</t>
        </is>
      </c>
      <c r="F34" s="3" t="inlineStr">
        <is>
          <t>NeuroImage</t>
        </is>
      </c>
      <c r="G34" s="3" t="inlineStr">
        <is>
          <t>10.1016/j.neuroimage.2013.07.069</t>
        </is>
      </c>
      <c r="H34" s="2" t="inlineStr">
        <is>
          <t>排除</t>
        </is>
      </c>
      <c r="I34" s="2" t="inlineStr">
        <is>
          <t>E2-干预不符</t>
        </is>
      </c>
      <c r="J34" s="3" t="inlineStr">
        <is>
          <t>三组训练任务均为Brain Fitness(听觉)/Space Fortress(游戏)/Road Tour(导航游戏)，均非WM主要训练</t>
        </is>
      </c>
    </row>
    <row r="35" ht="30" customHeight="1">
      <c r="A35" s="2" t="n">
        <v>34</v>
      </c>
      <c r="B35" s="2" t="inlineStr">
        <is>
          <t>纳入</t>
        </is>
      </c>
      <c r="C35" s="2" t="n">
        <v>2022</v>
      </c>
      <c r="D35" s="3" t="inlineStr">
        <is>
          <t>S</t>
        </is>
      </c>
      <c r="E35" s="4" t="inlineStr">
        <is>
          <t>Older adults with lower working memory capacity benefit from transcranial direct current stimulation when combined with working memory training: A preliminary study.</t>
        </is>
      </c>
      <c r="F35" s="3" t="inlineStr">
        <is>
          <t>Frontiers in aging neuroscience</t>
        </is>
      </c>
      <c r="G35" s="3" t="inlineStr">
        <is>
          <t>10.3389/fnagi.2022.1009262</t>
        </is>
      </c>
      <c r="H35" s="2" t="inlineStr">
        <is>
          <t>纳入</t>
        </is>
      </c>
      <c r="I35" s="2" t="inlineStr"/>
      <c r="J35" s="3" t="inlineStr">
        <is>
          <t>N=28, 均值67.9±6.1岁(56-76), n-back WM训练+tDCS, 5天训练, 含行为结局</t>
        </is>
      </c>
    </row>
    <row r="36" ht="30" customHeight="1">
      <c r="A36" s="2" t="n">
        <v>35</v>
      </c>
      <c r="B36" s="2" t="inlineStr">
        <is>
          <t>纳入</t>
        </is>
      </c>
      <c r="C36" s="2" t="n">
        <v>2003</v>
      </c>
      <c r="D36" s="3" t="inlineStr">
        <is>
          <t>VK</t>
        </is>
      </c>
      <c r="E36" s="4" t="inlineStr">
        <is>
          <t>Long-term improvements in cognitive performance through computer-assisted cognitive training: a pilot study in a residential home for older people.</t>
        </is>
      </c>
      <c r="F36" s="3" t="inlineStr">
        <is>
          <t>Aging &amp; mental health</t>
        </is>
      </c>
      <c r="G36" s="3" t="inlineStr">
        <is>
          <t>10.1080/1360786031000101175</t>
        </is>
      </c>
      <c r="H36" s="2" t="inlineStr">
        <is>
          <t>纳入</t>
        </is>
      </c>
      <c r="I36" s="2" t="inlineStr"/>
      <c r="J36" s="3" t="inlineStr">
        <is>
          <t>均值83.5岁, WM训练</t>
        </is>
      </c>
    </row>
    <row r="37" ht="30" customHeight="1">
      <c r="A37" s="2" t="n">
        <v>36</v>
      </c>
      <c r="B37" s="2" t="inlineStr">
        <is>
          <t>纳入</t>
        </is>
      </c>
      <c r="C37" s="2" t="n">
        <v>2014</v>
      </c>
      <c r="D37" s="3" t="inlineStr">
        <is>
          <t>E</t>
        </is>
      </c>
      <c r="E37" s="4" t="inlineStr">
        <is>
          <t>Novel television-based cognitive training improves working memory and executive function.</t>
        </is>
      </c>
      <c r="F37" s="3" t="inlineStr">
        <is>
          <t>PloS one</t>
        </is>
      </c>
      <c r="G37" s="3" t="inlineStr">
        <is>
          <t>10.1371/journal.pone.0101472</t>
        </is>
      </c>
      <c r="H37" s="2" t="inlineStr">
        <is>
          <t>纳入</t>
        </is>
      </c>
      <c r="I37" s="2" t="inlineStr"/>
      <c r="J37" s="3" t="inlineStr">
        <is>
          <t>均值73.5岁, WM span</t>
        </is>
      </c>
    </row>
    <row r="38" ht="30" customHeight="1">
      <c r="A38" s="2" t="n">
        <v>37</v>
      </c>
      <c r="B38" s="2" t="inlineStr">
        <is>
          <t>纳入</t>
        </is>
      </c>
      <c r="C38" s="2" t="n">
        <v>2017</v>
      </c>
      <c r="D38" s="3" t="inlineStr">
        <is>
          <t>CE</t>
        </is>
      </c>
      <c r="E38" s="4" t="inlineStr">
        <is>
          <t>Enhancing Spatial Attention and Working Memory in Younger and Older Adults.</t>
        </is>
      </c>
      <c r="F38" s="3" t="inlineStr">
        <is>
          <t>Journal of cognitive neuroscience</t>
        </is>
      </c>
      <c r="G38" s="3" t="inlineStr">
        <is>
          <t>10.1162/jocn_a_01159</t>
        </is>
      </c>
      <c r="H38" s="2" t="inlineStr">
        <is>
          <t>排除</t>
        </is>
      </c>
      <c r="I38" s="2" t="inlineStr">
        <is>
          <t>E1-人群不符</t>
        </is>
      </c>
      <c r="J38" s="3" t="inlineStr">
        <is>
          <t>均值23.6岁(&lt;60岁), WM span</t>
        </is>
      </c>
    </row>
    <row r="39" ht="30" customHeight="1">
      <c r="A39" s="2" t="n">
        <v>38</v>
      </c>
      <c r="B39" s="2" t="inlineStr">
        <is>
          <t>纳入</t>
        </is>
      </c>
      <c r="C39" s="2" t="n">
        <v>2018</v>
      </c>
      <c r="D39" s="3" t="inlineStr">
        <is>
          <t>J</t>
        </is>
      </c>
      <c r="E39" s="4" t="inlineStr">
        <is>
          <t>WOME: Theory-Based Working Memory Training - A Placebo-Controlled, Double-Blind Evaluation in Older Adults.</t>
        </is>
      </c>
      <c r="F39" s="3" t="inlineStr">
        <is>
          <t>Frontiers in aging neuroscience</t>
        </is>
      </c>
      <c r="G39" s="3" t="inlineStr">
        <is>
          <t>https://doi.org/10.3389/fnagi.2018.00247</t>
        </is>
      </c>
      <c r="H39" s="2" t="inlineStr">
        <is>
          <t>排除</t>
        </is>
      </c>
      <c r="I39" s="2" t="inlineStr">
        <is>
          <t>E1-人群不符</t>
        </is>
      </c>
      <c r="J39" s="3" t="inlineStr">
        <is>
          <t>10-12岁(儿童), 非老年人研究</t>
        </is>
      </c>
    </row>
    <row r="40" ht="30" customHeight="1">
      <c r="A40" s="2" t="n">
        <v>39</v>
      </c>
      <c r="B40" s="2" t="inlineStr">
        <is>
          <t>纳入</t>
        </is>
      </c>
      <c r="C40" s="2" t="n">
        <v>2008</v>
      </c>
      <c r="D40" s="3" t="inlineStr">
        <is>
          <t>M</t>
        </is>
      </c>
      <c r="E40" s="4" t="inlineStr">
        <is>
          <t>Impact of working memory training on memory performance in old-old adults.</t>
        </is>
      </c>
      <c r="F40" s="3" t="inlineStr">
        <is>
          <t>Psychology and aging</t>
        </is>
      </c>
      <c r="G40" s="3" t="inlineStr">
        <is>
          <t>10.1037/a0014342</t>
        </is>
      </c>
      <c r="H40" s="2" t="inlineStr">
        <is>
          <t>纳入</t>
        </is>
      </c>
      <c r="I40" s="2" t="inlineStr"/>
      <c r="J40" s="3" t="inlineStr">
        <is>
          <t>均值68.0岁, WM span</t>
        </is>
      </c>
    </row>
    <row r="41" ht="30" customHeight="1">
      <c r="A41" s="2" t="n">
        <v>40</v>
      </c>
      <c r="B41" s="2" t="inlineStr">
        <is>
          <t>纳入</t>
        </is>
      </c>
      <c r="C41" s="2" t="n">
        <v>2023</v>
      </c>
      <c r="D41" s="3" t="inlineStr">
        <is>
          <t>SJ</t>
        </is>
      </c>
      <c r="E41" s="4" t="inlineStr">
        <is>
          <t>Experimental investigation of training schedule on home-based working memory training in healthy older adults.</t>
        </is>
      </c>
      <c r="F41" s="3" t="inlineStr">
        <is>
          <t>Frontiers in psychology</t>
        </is>
      </c>
      <c r="G41" s="3" t="inlineStr">
        <is>
          <t>10.3389/fpsyg.2023.1165275</t>
        </is>
      </c>
      <c r="H41" s="2" t="inlineStr">
        <is>
          <t>纳入</t>
        </is>
      </c>
      <c r="I41" s="2" t="inlineStr"/>
      <c r="J41" s="3" t="inlineStr">
        <is>
          <t>均值70.0岁, WM span</t>
        </is>
      </c>
    </row>
    <row r="42" ht="30" customHeight="1">
      <c r="A42" s="2" t="n">
        <v>41</v>
      </c>
      <c r="B42" s="2" t="inlineStr">
        <is>
          <t>纳入</t>
        </is>
      </c>
      <c r="C42" s="2" t="n">
        <v>2017</v>
      </c>
      <c r="D42" s="3" t="inlineStr">
        <is>
          <t>S</t>
        </is>
      </c>
      <c r="E42" s="4" t="inlineStr">
        <is>
          <t>Transfer Effects to a Multimodal Dual-Task after Working Memory Training and Associated Neural Correlates in Older Adults - A Pilot Study.</t>
        </is>
      </c>
      <c r="F42" s="3" t="inlineStr">
        <is>
          <t>Frontiers in human neuroscience</t>
        </is>
      </c>
      <c r="G42" s="3" t="inlineStr">
        <is>
          <t>10.3389/fnhum.2017.00085</t>
        </is>
      </c>
      <c r="H42" s="2" t="inlineStr">
        <is>
          <t>纳入</t>
        </is>
      </c>
      <c r="I42" s="2" t="inlineStr"/>
      <c r="J42" s="3" t="inlineStr">
        <is>
          <t>均值66.0岁, WM span</t>
        </is>
      </c>
    </row>
    <row r="43" ht="30" customHeight="1">
      <c r="A43" s="2" t="n">
        <v>42</v>
      </c>
      <c r="B43" s="2" t="inlineStr">
        <is>
          <t>纳入</t>
        </is>
      </c>
      <c r="C43" s="2" t="n">
        <v>2015</v>
      </c>
      <c r="D43" s="3" t="inlineStr">
        <is>
          <t>M</t>
        </is>
      </c>
      <c r="E43" s="4" t="inlineStr">
        <is>
          <t>Lower baseline performance but greater plasticity of working memory for carriers of the val allele of the COMT Val¹⁵⁸Met polymorphism.</t>
        </is>
      </c>
      <c r="F43" s="3" t="inlineStr">
        <is>
          <t>Neuropsychology</t>
        </is>
      </c>
      <c r="G43" s="3" t="inlineStr">
        <is>
          <t>10.1037/neu0000088</t>
        </is>
      </c>
      <c r="H43" s="2" t="inlineStr">
        <is>
          <t>排除</t>
        </is>
      </c>
      <c r="I43" s="2" t="inlineStr">
        <is>
          <t>E1-人群不符</t>
        </is>
      </c>
      <c r="J43" s="3" t="inlineStr">
        <is>
          <t>20-31岁, 年轻人, 非老年人研究</t>
        </is>
      </c>
    </row>
    <row r="44" ht="30" customHeight="1">
      <c r="A44" s="2" t="n">
        <v>43</v>
      </c>
      <c r="B44" s="2" t="inlineStr">
        <is>
          <t>纳入</t>
        </is>
      </c>
      <c r="C44" s="2" t="n">
        <v>2017</v>
      </c>
      <c r="D44" s="3" t="inlineStr">
        <is>
          <t>JA</t>
        </is>
      </c>
      <c r="E44" s="4" t="inlineStr">
        <is>
          <t>Task demands, tDCS intensity, and the COMT val(158)met polymorphism impact tDCS-linked working memory training gains.</t>
        </is>
      </c>
      <c r="F44" s="3" t="inlineStr">
        <is>
          <t>Scientific reports</t>
        </is>
      </c>
      <c r="G44" s="3" t="inlineStr">
        <is>
          <t>10.1038/s41598-017-14030-7</t>
        </is>
      </c>
      <c r="H44" s="2" t="inlineStr">
        <is>
          <t>纳入</t>
        </is>
      </c>
      <c r="I44" s="2" t="inlineStr"/>
      <c r="J44" s="3" t="inlineStr">
        <is>
          <t>均值64.27岁, WM训练+tDCS, COMT基因研究</t>
        </is>
      </c>
    </row>
    <row r="45" ht="30" customHeight="1">
      <c r="A45" s="2" t="n">
        <v>44</v>
      </c>
      <c r="B45" s="2" t="inlineStr">
        <is>
          <t>纳入</t>
        </is>
      </c>
      <c r="C45" s="2" t="n">
        <v>2025</v>
      </c>
      <c r="D45" s="3" t="inlineStr">
        <is>
          <t>E</t>
        </is>
      </c>
      <c r="E45" s="4" t="inlineStr">
        <is>
          <t>Practice makes perfect, but to what end? Computerised brain training has limited cognitive benefits in healthy ageing.</t>
        </is>
      </c>
      <c r="F45" s="3" t="inlineStr">
        <is>
          <t>Psychological research</t>
        </is>
      </c>
      <c r="G45" s="3" t="inlineStr">
        <is>
          <t>10.1007/s00426-025-02110-7</t>
        </is>
      </c>
      <c r="H45" s="2" t="inlineStr">
        <is>
          <t>纳入</t>
        </is>
      </c>
      <c r="I45" s="2" t="inlineStr"/>
      <c r="J45" s="3" t="inlineStr">
        <is>
          <t>N=103, 均值70.57±5.5岁(60-84), 计算机化认知训练(含WM/n-back), RCT, 3个月干预</t>
        </is>
      </c>
    </row>
    <row r="46" ht="30" customHeight="1">
      <c r="A46" s="2" t="n">
        <v>45</v>
      </c>
      <c r="B46" s="2" t="inlineStr">
        <is>
          <t>纳入</t>
        </is>
      </c>
      <c r="C46" s="2" t="n">
        <v>2016</v>
      </c>
      <c r="D46" s="3" t="inlineStr">
        <is>
          <t>ES</t>
        </is>
      </c>
      <c r="E46" s="4" t="inlineStr">
        <is>
          <t>Changes in Neural Activity Underlying Working Memory after Computerized Cognitive Training in Older Adults.</t>
        </is>
      </c>
      <c r="F46" s="3" t="inlineStr">
        <is>
          <t>Frontiers in aging neuroscience</t>
        </is>
      </c>
      <c r="G46" s="3" t="inlineStr">
        <is>
          <t>255</t>
        </is>
      </c>
      <c r="H46" s="2" t="inlineStr">
        <is>
          <t>纳入</t>
        </is>
      </c>
      <c r="I46" s="2" t="inlineStr"/>
      <c r="J46" s="3" t="inlineStr">
        <is>
          <t>均值75.8岁, WM span</t>
        </is>
      </c>
    </row>
    <row r="47" ht="30" customHeight="1">
      <c r="A47" s="2" t="n">
        <v>46</v>
      </c>
      <c r="B47" s="2" t="inlineStr">
        <is>
          <t>纳入</t>
        </is>
      </c>
      <c r="C47" s="2" t="n">
        <v>2013</v>
      </c>
      <c r="D47" s="3" t="inlineStr">
        <is>
          <t>LP</t>
        </is>
      </c>
      <c r="E47" s="4" t="inlineStr">
        <is>
          <t>An evaluation of a working memory training scheme in older adults.</t>
        </is>
      </c>
      <c r="F47" s="3" t="inlineStr">
        <is>
          <t>Frontiers in aging neuroscience</t>
        </is>
      </c>
      <c r="G47" s="3" t="inlineStr">
        <is>
          <t>10.3389/fnagi.2013.00020</t>
        </is>
      </c>
      <c r="H47" s="2" t="inlineStr">
        <is>
          <t>纳入</t>
        </is>
      </c>
      <c r="I47" s="2" t="inlineStr"/>
      <c r="J47" s="3" t="inlineStr">
        <is>
          <t>N=30(训练19+对照11), 均值69.89/71.06岁(64-79), WM span训练(听觉+视空间), 5周在线, 含6月随访</t>
        </is>
      </c>
    </row>
    <row r="48" ht="30" customHeight="1">
      <c r="A48" s="2" t="n">
        <v>47</v>
      </c>
      <c r="B48" s="2" t="inlineStr">
        <is>
          <t>纳入</t>
        </is>
      </c>
      <c r="C48" s="2" t="n">
        <v>2018</v>
      </c>
      <c r="D48" s="3" t="inlineStr">
        <is>
          <t>VM</t>
        </is>
      </c>
      <c r="E48" s="4" t="inlineStr">
        <is>
          <t>Self-Perceived Benefits of Cognitive Training in Healthy Older Adults.</t>
        </is>
      </c>
      <c r="F48" s="3" t="inlineStr">
        <is>
          <t>Frontiers in aging neuroscience</t>
        </is>
      </c>
      <c r="G48" s="3" t="inlineStr">
        <is>
          <t>10.3389/fnagi.2018.00112</t>
        </is>
      </c>
      <c r="H48" s="2" t="inlineStr">
        <is>
          <t>纳入</t>
        </is>
      </c>
      <c r="I48" s="2" t="inlineStr"/>
      <c r="J48" s="3" t="inlineStr">
        <is>
          <t>N=97, 入组≥65岁(均值未报告), WM训练(n-back, BrainGymmer), 8周, 含主观+客观认知结局</t>
        </is>
      </c>
    </row>
    <row r="49" ht="30" customHeight="1">
      <c r="A49" s="2" t="n">
        <v>48</v>
      </c>
      <c r="B49" s="2" t="inlineStr">
        <is>
          <t>纳入</t>
        </is>
      </c>
      <c r="C49" s="2" t="n">
        <v>2025</v>
      </c>
      <c r="D49" s="3" t="inlineStr">
        <is>
          <t>E</t>
        </is>
      </c>
      <c r="E49" s="4" t="inlineStr">
        <is>
          <t>Short- and long-term cognitive and electrophysiological effects of a brief working memory training in older adults: a pilot study.</t>
        </is>
      </c>
      <c r="F49" s="3" t="inlineStr">
        <is>
          <t>BMC geriatrics</t>
        </is>
      </c>
      <c r="G49" s="3" t="inlineStr">
        <is>
          <t>10.1186/s12877-025-06507-2</t>
        </is>
      </c>
      <c r="H49" s="2" t="inlineStr">
        <is>
          <t>纳入</t>
        </is>
      </c>
      <c r="I49" s="2" t="inlineStr"/>
      <c r="J49" s="3" t="inlineStr">
        <is>
          <t>均值69.5岁, WM span</t>
        </is>
      </c>
    </row>
    <row r="50" ht="30" customHeight="1">
      <c r="A50" s="2" t="n">
        <v>49</v>
      </c>
      <c r="B50" s="2" t="inlineStr">
        <is>
          <t>纳入</t>
        </is>
      </c>
      <c r="C50" s="2" t="n">
        <v>2017</v>
      </c>
      <c r="D50" s="3" t="inlineStr">
        <is>
          <t>VM</t>
        </is>
      </c>
      <c r="E50" s="4" t="inlineStr">
        <is>
          <t>Comparison of Cognitive Change after Working Memory Training and Logic and Planning Training in Healthy Older Adults.</t>
        </is>
      </c>
      <c r="F50" s="3" t="inlineStr">
        <is>
          <t>Frontiers in aging neuroscience</t>
        </is>
      </c>
      <c r="G50" s="3" t="inlineStr">
        <is>
          <t>10.3389/fnagi.2017.00039</t>
        </is>
      </c>
      <c r="H50" s="2" t="inlineStr">
        <is>
          <t>纳入</t>
        </is>
      </c>
      <c r="I50" s="2" t="inlineStr"/>
      <c r="J50" s="3" t="inlineStr">
        <is>
          <t>均值75.0岁, WM span</t>
        </is>
      </c>
    </row>
    <row r="51" ht="30" customHeight="1">
      <c r="A51" s="2" t="n">
        <v>50</v>
      </c>
      <c r="B51" s="2" t="inlineStr">
        <is>
          <t>纳入</t>
        </is>
      </c>
      <c r="C51" s="2" t="n">
        <v>2012</v>
      </c>
      <c r="D51" s="3" t="inlineStr">
        <is>
          <t>K</t>
        </is>
      </c>
      <c r="E51" s="4" t="inlineStr">
        <is>
          <t>Potentials and limits of plasticity induced by working memory training in old-old age.</t>
        </is>
      </c>
      <c r="F51" s="3" t="inlineStr">
        <is>
          <t>Gerontology</t>
        </is>
      </c>
      <c r="G51" s="3" t="inlineStr">
        <is>
          <t>10.1159/000324240</t>
        </is>
      </c>
      <c r="H51" s="2" t="inlineStr">
        <is>
          <t>纳入</t>
        </is>
      </c>
      <c r="I51" s="2" t="inlineStr"/>
      <c r="J51" s="3" t="inlineStr">
        <is>
          <t>均值80.0岁, WM span</t>
        </is>
      </c>
    </row>
    <row r="52" ht="30" customHeight="1">
      <c r="A52" s="2" t="n">
        <v>51</v>
      </c>
      <c r="B52" s="2" t="inlineStr">
        <is>
          <t>纳入</t>
        </is>
      </c>
      <c r="C52" s="2" t="n">
        <v>2016</v>
      </c>
      <c r="D52" s="3" t="inlineStr">
        <is>
          <t>C</t>
        </is>
      </c>
      <c r="E52" s="4" t="inlineStr">
        <is>
          <t>To Switch or Not to Switch: Role of Cognitive Control in Working Memory Training in Older Adults.</t>
        </is>
      </c>
      <c r="F52" s="3" t="inlineStr">
        <is>
          <t>Frontiers in psychology</t>
        </is>
      </c>
      <c r="G52" s="3" t="inlineStr">
        <is>
          <t>10.3389/fpsyg.2016.00230</t>
        </is>
      </c>
      <c r="H52" s="2" t="inlineStr">
        <is>
          <t>纳入</t>
        </is>
      </c>
      <c r="I52" s="2" t="inlineStr"/>
      <c r="J52" s="3" t="inlineStr">
        <is>
          <t>N=43, 均值68.81±5.18岁(60-86), WM更新训练(N-Match任务), RCT双盲</t>
        </is>
      </c>
    </row>
    <row r="53" ht="30" customHeight="1">
      <c r="A53" s="2" t="n">
        <v>52</v>
      </c>
      <c r="B53" s="2" t="inlineStr">
        <is>
          <t>纳入</t>
        </is>
      </c>
      <c r="C53" s="2" t="n">
        <v>2023</v>
      </c>
      <c r="D53" s="3" t="inlineStr">
        <is>
          <t>SM</t>
        </is>
      </c>
      <c r="E53" s="4" t="inlineStr">
        <is>
          <t>EngAge - A metacognitive intervention to supplement working memory training: A feasibility study in older adults.</t>
        </is>
      </c>
      <c r="F53" s="3" t="inlineStr">
        <is>
          <t>Aging brain</t>
        </is>
      </c>
      <c r="G53" s="3" t="inlineStr">
        <is>
          <t>https://doi.org/10.1016/j.nbas.2023.100083</t>
        </is>
      </c>
      <c r="H53" s="2" t="inlineStr">
        <is>
          <t>纳入</t>
        </is>
      </c>
      <c r="I53" s="2" t="inlineStr"/>
      <c r="J53" s="3" t="inlineStr">
        <is>
          <t>N=119, 均值72.86±5.14岁(65-85), n-back WM训练+元认知研讨会(EngAge), 20次session, 含3月随访</t>
        </is>
      </c>
    </row>
    <row r="54" ht="30" customHeight="1">
      <c r="A54" s="2" t="n">
        <v>53</v>
      </c>
      <c r="B54" s="2" t="inlineStr">
        <is>
          <t>纳入</t>
        </is>
      </c>
      <c r="C54" s="2" t="n">
        <v>2017</v>
      </c>
      <c r="D54" s="3" t="inlineStr">
        <is>
          <t>E</t>
        </is>
      </c>
      <c r="E54" s="4" t="inlineStr">
        <is>
          <t>Working Memory Training for Healthy Older Adults: The Role of Individual Characteristics in Explaining Short- and Long-Term Gains.</t>
        </is>
      </c>
      <c r="F54" s="3" t="inlineStr">
        <is>
          <t>Frontiers in human neuroscience</t>
        </is>
      </c>
      <c r="G54" s="3" t="inlineStr">
        <is>
          <t>10.3389/fnhum.2017.00099</t>
        </is>
      </c>
      <c r="H54" s="2" t="inlineStr">
        <is>
          <t>纳入</t>
        </is>
      </c>
      <c r="I54" s="2" t="inlineStr"/>
      <c r="J54" s="3" t="inlineStr">
        <is>
          <t>N=148(四研究合并), 均值71.63±5.53岁(61-87), verbal WM span训练, 分析个体特征对训练效果的调节作用</t>
        </is>
      </c>
    </row>
    <row r="55" ht="30" customHeight="1">
      <c r="A55" s="2" t="n">
        <v>54</v>
      </c>
      <c r="B55" s="2" t="inlineStr">
        <is>
          <t>纳入</t>
        </is>
      </c>
      <c r="C55" s="2" t="n">
        <v>2021</v>
      </c>
      <c r="D55" s="3" t="inlineStr">
        <is>
          <t>M</t>
        </is>
      </c>
      <c r="E55" s="4" t="inlineStr">
        <is>
          <t>The Effect of Transcranial Random Noise Stimulation on Cognitive Training Outcome in Healthy Aging.</t>
        </is>
      </c>
      <c r="F55" s="3" t="inlineStr">
        <is>
          <t>Frontiers in neurology</t>
        </is>
      </c>
      <c r="G55" s="3" t="inlineStr">
        <is>
          <t>10.3389/fneur.2021.625359</t>
        </is>
      </c>
      <c r="H55" s="2" t="inlineStr">
        <is>
          <t>纳入</t>
        </is>
      </c>
      <c r="I55" s="2" t="inlineStr"/>
      <c r="J55" s="3" t="inlineStr">
        <is>
          <t>均值69.0岁, WM span</t>
        </is>
      </c>
    </row>
    <row r="56" ht="30" customHeight="1">
      <c r="A56" s="2" t="n">
        <v>55</v>
      </c>
      <c r="B56" s="2" t="inlineStr">
        <is>
          <t>纳入</t>
        </is>
      </c>
      <c r="C56" s="2" t="n">
        <v>2022</v>
      </c>
      <c r="D56" s="3" t="inlineStr">
        <is>
          <t>D</t>
        </is>
      </c>
      <c r="E56" s="4" t="inlineStr">
        <is>
          <t>Randomized trial of cognitive training and brain stimulation in non-demented older adults.</t>
        </is>
      </c>
      <c r="F56" s="3" t="inlineStr">
        <is>
          <t>Alzheimer's &amp; dementia (New York, N. Y.)</t>
        </is>
      </c>
      <c r="G56" s="3" t="inlineStr">
        <is>
          <t>10.1002/trc2.12262</t>
        </is>
      </c>
      <c r="H56" s="2" t="inlineStr">
        <is>
          <t>纳入</t>
        </is>
      </c>
      <c r="I56" s="2" t="inlineStr"/>
      <c r="J56" s="3" t="inlineStr">
        <is>
          <t>N=51, 均值70±4岁(65-80), WM训练+tDCS, RCT, 含随访</t>
        </is>
      </c>
    </row>
    <row r="57" ht="30" customHeight="1">
      <c r="A57" s="2" t="n">
        <v>56</v>
      </c>
      <c r="B57" s="2" t="inlineStr">
        <is>
          <t>纳入</t>
        </is>
      </c>
      <c r="C57" s="2" t="n">
        <v>2010</v>
      </c>
      <c r="D57" s="3" t="inlineStr">
        <is>
          <t>F</t>
        </is>
      </c>
      <c r="E57" s="4" t="inlineStr">
        <is>
          <t>Hundred Days of Cognitive Training Enhance Broad Cognitive Abilities in Adulthood: Findings from the COGITO Study.</t>
        </is>
      </c>
      <c r="F57" s="3" t="inlineStr">
        <is>
          <t>Frontiers in aging neuroscience</t>
        </is>
      </c>
      <c r="G57" s="3" t="inlineStr">
        <is>
          <t>10.3389/fnagi.2010.00027</t>
        </is>
      </c>
      <c r="H57" s="2" t="inlineStr">
        <is>
          <t>排除</t>
        </is>
      </c>
      <c r="I57" s="2" t="inlineStr">
        <is>
          <t>E1-人群不符</t>
        </is>
      </c>
      <c r="J57" s="3" t="inlineStr">
        <is>
          <t>均值25.5岁, WM span</t>
        </is>
      </c>
    </row>
    <row r="58" ht="30" customHeight="1">
      <c r="A58" s="2" t="n">
        <v>57</v>
      </c>
      <c r="B58" s="2" t="inlineStr">
        <is>
          <t>纳入</t>
        </is>
      </c>
      <c r="C58" s="2" t="n">
        <v>2014</v>
      </c>
      <c r="D58" s="3" t="inlineStr">
        <is>
          <t>EM</t>
        </is>
      </c>
      <c r="E58" s="4" t="inlineStr">
        <is>
          <t>Evaluating the relationship between change in performance on training tasks and on untrained outcomes.</t>
        </is>
      </c>
      <c r="F58" s="3" t="inlineStr">
        <is>
          <t>Frontiers in human neuroscience</t>
        </is>
      </c>
      <c r="G58" s="3" t="inlineStr">
        <is>
          <t>10.3389/fnhum.2014.00617</t>
        </is>
      </c>
      <c r="H58" s="2" t="inlineStr">
        <is>
          <t>纳入</t>
        </is>
      </c>
      <c r="I58" s="2" t="inlineStr"/>
      <c r="J58" s="3" t="inlineStr">
        <is>
          <t>均值75.6岁, WM span</t>
        </is>
      </c>
    </row>
    <row r="59" ht="30" customHeight="1">
      <c r="A59" s="2" t="n">
        <v>58</v>
      </c>
      <c r="B59" s="2" t="inlineStr">
        <is>
          <t>纳入</t>
        </is>
      </c>
      <c r="C59" s="2" t="n">
        <v>2025</v>
      </c>
      <c r="D59" s="3" t="inlineStr">
        <is>
          <t>J</t>
        </is>
      </c>
      <c r="E59" s="4" t="inlineStr">
        <is>
          <t>Personalized and gamified auditory-cognitive training improves naturalistic speech-in-noise comprehension in older adults with hearing loss.</t>
        </is>
      </c>
      <c r="F59" s="3" t="inlineStr">
        <is>
          <t>NPJ science of learning</t>
        </is>
      </c>
      <c r="G59" s="3" t="inlineStr">
        <is>
          <t>10.1038/s41539-025-00369-4</t>
        </is>
      </c>
      <c r="H59" s="2" t="inlineStr">
        <is>
          <t>排除</t>
        </is>
      </c>
      <c r="I59" s="2" t="inlineStr">
        <is>
          <t>E1-人群不符</t>
        </is>
      </c>
      <c r="J59" s="3" t="inlineStr">
        <is>
          <t>均值54.5岁, 元认知训练</t>
        </is>
      </c>
    </row>
    <row r="60" ht="30" customHeight="1">
      <c r="A60" s="2" t="n">
        <v>59</v>
      </c>
      <c r="B60" s="2" t="inlineStr">
        <is>
          <t>纳入</t>
        </is>
      </c>
      <c r="C60" s="2" t="n">
        <v>2021</v>
      </c>
      <c r="D60" s="3" t="inlineStr">
        <is>
          <t>C</t>
        </is>
      </c>
      <c r="E60" s="4" t="inlineStr">
        <is>
          <t>Working Memory Training and Cortical Arousal in Healthy Older Adults: A Resting-State EEG Pilot Study.</t>
        </is>
      </c>
      <c r="F60" s="3" t="inlineStr">
        <is>
          <t>Frontiers in aging neuroscience</t>
        </is>
      </c>
      <c r="G60" s="3" t="inlineStr">
        <is>
          <t>10.3389/fnagi.2021.718965</t>
        </is>
      </c>
      <c r="H60" s="2" t="inlineStr">
        <is>
          <t>纳入</t>
        </is>
      </c>
      <c r="I60" s="2" t="inlineStr"/>
      <c r="J60" s="3" t="inlineStr">
        <is>
          <t>N=24, 均值68.83±2.85岁(64-75), WM span训练, 含静息态EEG, pilot研究</t>
        </is>
      </c>
    </row>
    <row r="61" ht="30" customHeight="1">
      <c r="A61" s="2" t="n">
        <v>60</v>
      </c>
      <c r="B61" s="2" t="inlineStr">
        <is>
          <t>纳入</t>
        </is>
      </c>
      <c r="C61" s="2" t="n">
        <v>2026</v>
      </c>
      <c r="D61" s="3" t="inlineStr">
        <is>
          <t>L</t>
        </is>
      </c>
      <c r="E61" s="4" t="inlineStr">
        <is>
          <t>A comparison of single-domain and multidomain executive functions cognitive training for enhancing cognition and well-being in older adults.</t>
        </is>
      </c>
      <c r="F61" s="3" t="inlineStr">
        <is>
          <t>Psychological research</t>
        </is>
      </c>
      <c r="G61" s="3" t="inlineStr">
        <is>
          <t>10.1007/s00426-026-02249-x</t>
        </is>
      </c>
      <c r="H61" s="2" t="inlineStr">
        <is>
          <t>纳入</t>
        </is>
      </c>
      <c r="I61" s="2" t="inlineStr"/>
      <c r="J61" s="3" t="inlineStr">
        <is>
          <t>N=66, 均值69.58±7.04岁, 单域WM训练(n-back) vs 多域EF训练 vs 主动对照, 4周, Bayesian分析</t>
        </is>
      </c>
    </row>
    <row r="62" ht="30" customHeight="1">
      <c r="A62" s="2" t="n">
        <v>61</v>
      </c>
      <c r="B62" s="2" t="inlineStr">
        <is>
          <t>纳入</t>
        </is>
      </c>
      <c r="C62" s="2" t="n">
        <v>2021</v>
      </c>
      <c r="D62" s="3" t="inlineStr">
        <is>
          <t>Cantarella</t>
        </is>
      </c>
      <c r="E62" s="4" t="inlineStr">
        <is>
          <t>The influence of training task stimuli on transfer effects of working memory training in aging</t>
        </is>
      </c>
      <c r="F62" s="3" t="inlineStr">
        <is>
          <t>Psychologie Française</t>
        </is>
      </c>
      <c r="G62" s="3" t="inlineStr">
        <is>
          <t>https://doi.org/10.1016/j.psfr.2017.04.005</t>
        </is>
      </c>
      <c r="H62" s="2" t="inlineStr">
        <is>
          <t>纳入</t>
        </is>
      </c>
      <c r="I62" s="2" t="inlineStr"/>
      <c r="J62" s="3" t="inlineStr">
        <is>
          <t>均值69.0岁, 策略训练</t>
        </is>
      </c>
    </row>
    <row r="63" ht="30" customHeight="1">
      <c r="A63" s="2" t="n">
        <v>62</v>
      </c>
      <c r="B63" s="2" t="inlineStr">
        <is>
          <t>纳入</t>
        </is>
      </c>
      <c r="C63" s="2" t="n">
        <v>2020</v>
      </c>
      <c r="D63" s="3" t="inlineStr">
        <is>
          <t>Pergher</t>
        </is>
      </c>
      <c r="E63" s="4" t="inlineStr">
        <is>
          <t>Impact of strategy use during N-Back training in older adults</t>
        </is>
      </c>
      <c r="F63" s="3" t="inlineStr">
        <is>
          <t>Journal of Cognitive Psychology</t>
        </is>
      </c>
      <c r="G63" s="3" t="inlineStr">
        <is>
          <t>https://doi.org/10.1080/20445911.2020.1833891</t>
        </is>
      </c>
      <c r="H63" s="2" t="inlineStr">
        <is>
          <t>纳入</t>
        </is>
      </c>
      <c r="I63" s="2" t="inlineStr"/>
      <c r="J63" s="3" t="inlineStr">
        <is>
          <t>均值63.71岁, 策略训练</t>
        </is>
      </c>
    </row>
    <row r="64" ht="30" customHeight="1">
      <c r="A64" s="2" t="n">
        <v>63</v>
      </c>
      <c r="B64" s="2" t="inlineStr">
        <is>
          <t>纳入</t>
        </is>
      </c>
      <c r="C64" s="2" t="n">
        <v>2015</v>
      </c>
      <c r="D64" s="3" t="inlineStr">
        <is>
          <t>Lange</t>
        </is>
      </c>
      <c r="E64" s="4" t="inlineStr">
        <is>
          <t>Experimental evaluation of near‐ and far‐transfer effects of an adaptive multicomponent working memory training</t>
        </is>
      </c>
      <c r="F64" s="3" t="inlineStr">
        <is>
          <t>Applied Cognitive Psychology</t>
        </is>
      </c>
      <c r="G64" s="3" t="inlineStr">
        <is>
          <t>https://doi.org/10.1002/acp.3126</t>
        </is>
      </c>
      <c r="H64" s="2" t="inlineStr">
        <is>
          <t>纳入</t>
        </is>
      </c>
      <c r="I64" s="2" t="inlineStr"/>
      <c r="J64" s="3" t="inlineStr">
        <is>
          <t>均值66.85岁, 策略训练</t>
        </is>
      </c>
    </row>
    <row r="65" ht="30" customHeight="1">
      <c r="A65" s="2" t="n">
        <v>64</v>
      </c>
      <c r="B65" s="2" t="inlineStr">
        <is>
          <t>纳入</t>
        </is>
      </c>
      <c r="C65" s="2" t="n">
        <v>2016</v>
      </c>
      <c r="D65" s="3" t="inlineStr">
        <is>
          <t>Zając-Lamparska</t>
        </is>
      </c>
      <c r="E65" s="4" t="inlineStr">
        <is>
          <t>Effects of working memory and attentional control training and their transfer onto fluid intelligence in early and late adulthood</t>
        </is>
      </c>
      <c r="F65" s="3" t="inlineStr">
        <is>
          <t>Health Psychology Report</t>
        </is>
      </c>
      <c r="G65" s="3" t="inlineStr">
        <is>
          <t>https://doi.org/10.5114/hpr.2016.56846</t>
        </is>
      </c>
      <c r="H65" s="2" t="inlineStr">
        <is>
          <t>排除</t>
        </is>
      </c>
      <c r="I65" s="2" t="inlineStr">
        <is>
          <t>E1-人群不符</t>
        </is>
      </c>
      <c r="J65" s="3" t="inlineStr">
        <is>
          <t>均值37.87岁, 策略训练</t>
        </is>
      </c>
    </row>
    <row r="66" ht="30" customHeight="1">
      <c r="A66" s="2" t="n">
        <v>65</v>
      </c>
      <c r="B66" s="2" t="inlineStr">
        <is>
          <t>纳入</t>
        </is>
      </c>
      <c r="C66" s="2" t="n">
        <v>2022</v>
      </c>
      <c r="D66" s="3" t="inlineStr">
        <is>
          <t>Pahor</t>
        </is>
      </c>
      <c r="E66" s="4" t="inlineStr">
        <is>
          <t>Near transfer to an unrelated N-back task mediates the effect of    N-back working memory training on matrix reasoning</t>
        </is>
      </c>
      <c r="F66" s="3" t="inlineStr">
        <is>
          <t>NATURE HUMAN BEHAVIOUR</t>
        </is>
      </c>
      <c r="G66" s="3" t="inlineStr">
        <is>
          <t>10.1038/s41562-022-01384-w</t>
        </is>
      </c>
      <c r="H66" s="2" t="inlineStr">
        <is>
          <t>排除</t>
        </is>
      </c>
      <c r="I66" s="2" t="inlineStr">
        <is>
          <t>E1-人群不符</t>
        </is>
      </c>
      <c r="J66" s="3" t="inlineStr">
        <is>
          <t>均值20.1岁, 策略训练</t>
        </is>
      </c>
    </row>
    <row r="67" ht="30" customHeight="1">
      <c r="A67" s="2" t="n">
        <v>66</v>
      </c>
      <c r="B67" s="2" t="inlineStr">
        <is>
          <t>纳入</t>
        </is>
      </c>
      <c r="C67" s="2" t="n">
        <v>2012</v>
      </c>
      <c r="D67" s="3" t="inlineStr">
        <is>
          <t>Rudebeck</t>
        </is>
      </c>
      <c r="E67" s="4" t="inlineStr">
        <is>
          <t>A Potential Spatial Working Memory Training Task to Improve Both    Episodic Memory and Fluid Intelligence</t>
        </is>
      </c>
      <c r="F67" s="3" t="inlineStr">
        <is>
          <t>PLOS ONE</t>
        </is>
      </c>
      <c r="G67" s="3" t="inlineStr">
        <is>
          <t>10.1371/journal.pone.0050431</t>
        </is>
      </c>
      <c r="H67" s="2" t="inlineStr">
        <is>
          <t>排除</t>
        </is>
      </c>
      <c r="I67" s="2" t="inlineStr">
        <is>
          <t>E1-人群不符</t>
        </is>
      </c>
      <c r="J67" s="3" t="inlineStr">
        <is>
          <t>训练组均值25.36岁，对照组25.49岁，为年轻人样本，非老年人</t>
        </is>
      </c>
    </row>
    <row r="68" ht="30" customHeight="1">
      <c r="A68" s="2" t="n">
        <v>67</v>
      </c>
      <c r="B68" s="2" t="inlineStr">
        <is>
          <t>纳入</t>
        </is>
      </c>
      <c r="C68" s="2" t="n">
        <v>2026</v>
      </c>
      <c r="D68" s="3" t="inlineStr">
        <is>
          <t>Chai</t>
        </is>
      </c>
      <c r="E68" s="4" t="inlineStr">
        <is>
          <t>The Impact of Working Memory Training on Cognitive Reappraisal Ability    Among Older Women</t>
        </is>
      </c>
      <c r="F68" s="3" t="inlineStr">
        <is>
          <t>JOURNAL OF COGNITIVE ENHANCEMENT</t>
        </is>
      </c>
      <c r="G68" s="3" t="inlineStr">
        <is>
          <t>10.1007/s41465-026-00354-8</t>
        </is>
      </c>
      <c r="H68" s="2" t="inlineStr">
        <is>
          <t>纳入</t>
        </is>
      </c>
      <c r="I68" s="2" t="inlineStr"/>
      <c r="J68" s="3" t="inlineStr">
        <is>
          <t>均值70.0岁, 策略训练</t>
        </is>
      </c>
    </row>
    <row r="69" ht="30" customHeight="1">
      <c r="A69" s="5" t="n">
        <v>68</v>
      </c>
      <c r="B69" s="5" t="inlineStr">
        <is>
          <t>不确定</t>
        </is>
      </c>
      <c r="C69" s="5" t="n">
        <v>2023</v>
      </c>
      <c r="D69" s="6" t="inlineStr">
        <is>
          <t>Stavroulaki</t>
        </is>
      </c>
      <c r="E69" s="7" t="inlineStr">
        <is>
          <t>Far transfer effects of executive working memory training on cognitive    flexibility</t>
        </is>
      </c>
      <c r="F69" s="6" t="inlineStr">
        <is>
          <t>CURRENT PSYCHOLOGY</t>
        </is>
      </c>
      <c r="G69" s="6" t="inlineStr">
        <is>
          <t>10.1007/s12144-022-03363-w</t>
        </is>
      </c>
      <c r="H69" s="5" t="inlineStr">
        <is>
          <t>排除</t>
        </is>
      </c>
      <c r="I69" s="5" t="inlineStr">
        <is>
          <t>E1-人群不符</t>
        </is>
      </c>
      <c r="J69" s="6" t="inlineStr">
        <is>
          <t>均值32.0岁, n-back</t>
        </is>
      </c>
    </row>
    <row r="70" ht="30" customHeight="1">
      <c r="A70" s="5" t="n">
        <v>69</v>
      </c>
      <c r="B70" s="5" t="inlineStr">
        <is>
          <t>不确定</t>
        </is>
      </c>
      <c r="C70" s="5" t="n">
        <v>2025</v>
      </c>
      <c r="D70" s="6" t="inlineStr">
        <is>
          <t>Chumpurat</t>
        </is>
      </c>
      <c r="E70" s="7" t="inlineStr">
        <is>
          <t>The effects of computer-based cognitive training on attention and working memory in Thai older adults with mild cognitive impairment</t>
        </is>
      </c>
      <c r="F70" s="6" t="inlineStr">
        <is>
          <t>Journal of Associated Medical Sciences</t>
        </is>
      </c>
      <c r="G70" s="6" t="inlineStr">
        <is>
          <t>10.12982/JAMS.2025.065</t>
        </is>
      </c>
      <c r="H70" s="5" t="inlineStr">
        <is>
          <t>排除</t>
        </is>
      </c>
      <c r="I70" s="5" t="inlineStr">
        <is>
          <t>E1-人群不符</t>
        </is>
      </c>
      <c r="J70" s="6" t="inlineStr">
        <is>
          <t>均值58.0岁, WM训练</t>
        </is>
      </c>
    </row>
    <row r="71" ht="30" customHeight="1">
      <c r="A71" s="5" t="n">
        <v>70</v>
      </c>
      <c r="B71" s="5" t="inlineStr">
        <is>
          <t>不确定</t>
        </is>
      </c>
      <c r="C71" s="5" t="n">
        <v>2026</v>
      </c>
      <c r="D71" s="6" t="inlineStr">
        <is>
          <t>Hunt</t>
        </is>
      </c>
      <c r="E71" s="7" t="inlineStr">
        <is>
          <t>Pretraining neural and neuropsychological measures of executive functioning are associated with response to working memory training in Veterans with PTSD</t>
        </is>
      </c>
      <c r="F71" s="6" t="inlineStr">
        <is>
          <t>Psychological Medicine</t>
        </is>
      </c>
      <c r="G71" s="6" t="inlineStr">
        <is>
          <t>10.1017/S0033291726103298</t>
        </is>
      </c>
      <c r="H71" s="5" t="inlineStr">
        <is>
          <t>排除</t>
        </is>
      </c>
      <c r="I71" s="5" t="inlineStr">
        <is>
          <t>E1-人群不符</t>
        </is>
      </c>
      <c r="J71" s="6" t="inlineStr">
        <is>
          <t>PTSD退伍军人样本，三组均值38-41岁，非健康老年人(≥60岁)</t>
        </is>
      </c>
    </row>
    <row r="72" ht="30" customHeight="1">
      <c r="A72" s="5" t="n">
        <v>71</v>
      </c>
      <c r="B72" s="5" t="inlineStr">
        <is>
          <t>不确定</t>
        </is>
      </c>
      <c r="C72" s="5" t="n">
        <v>2017</v>
      </c>
      <c r="D72" s="6" t="inlineStr">
        <is>
          <t>Kim</t>
        </is>
      </c>
      <c r="E72" s="7" t="inlineStr">
        <is>
          <t>N-Back based working memory contents to improve cognitive function</t>
        </is>
      </c>
      <c r="F72" s="6" t="inlineStr">
        <is>
          <t>International Journal of Grid and Distributed Computing</t>
        </is>
      </c>
      <c r="G72" s="6" t="inlineStr">
        <is>
          <t>10.14257/ijgdc.2017.10.10.05</t>
        </is>
      </c>
      <c r="H72" s="5" t="inlineStr">
        <is>
          <t>排除</t>
        </is>
      </c>
      <c r="I72" s="5" t="inlineStr">
        <is>
          <t>E4-研究设计不符</t>
        </is>
      </c>
      <c r="J72" s="6" t="inlineStr">
        <is>
          <t>软件/系统设计论文，介绍n-back训练程序内容，无实证研究数据，无参与者</t>
        </is>
      </c>
    </row>
  </sheetData>
  <autoFilter ref="A1:J72"/>
  <conditionalFormatting sqref="A2:J72">
    <cfRule type="expression" priority="1" dxfId="0">
      <formula>$H2="纳入"</formula>
    </cfRule>
    <cfRule type="expression" priority="2" dxfId="1">
      <formula>$H2="排除"</formula>
    </cfRule>
    <cfRule type="expression" priority="3" dxfId="2">
      <formula>$H2="不确定"</formula>
    </cfRule>
  </conditionalFormatting>
  <dataValidations count="2">
    <dataValidation sqref="H2:H72" showDropDown="0" showInputMessage="0" showErrorMessage="0" allowBlank="1" type="list">
      <formula1>"纳入,排除,不确定"</formula1>
    </dataValidation>
    <dataValidation sqref="I2:I72" showDropDown="0" showInputMessage="0" showErrorMessage="0" allowBlank="1" type="list">
      <formula1>"E1-人群不符,E2-干预不符,E3-结局不符,E4-研究设计,E7-全文不可及,E8-重复报告"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</cols>
  <sheetData>
    <row r="1" ht="28" customHeight="1">
      <c r="A1" s="8" t="inlineStr">
        <is>
          <t>第三轮全文筛选 — 进度统计</t>
        </is>
      </c>
    </row>
    <row r="2" ht="18" customHeight="1">
      <c r="A2" s="9" t="inlineStr">
        <is>
          <t>指标</t>
        </is>
      </c>
      <c r="B2" s="9" t="inlineStr">
        <is>
          <t>数量</t>
        </is>
      </c>
      <c r="C2" s="9" t="inlineStr">
        <is>
          <t>说明</t>
        </is>
      </c>
    </row>
    <row r="3" ht="18" customHeight="1">
      <c r="A3" s="10" t="inlineStr">
        <is>
          <t>输入总数</t>
        </is>
      </c>
      <c r="B3" s="10">
        <f>COUNTA(第三轮全文筛选!A2:A72)</f>
        <v/>
      </c>
      <c r="C3" s="10" t="inlineStr">
        <is>
          <t>进入第三轮的条目</t>
        </is>
      </c>
    </row>
    <row r="4" ht="18" customHeight="1">
      <c r="A4" s="10" t="inlineStr">
        <is>
          <t>已完成判决</t>
        </is>
      </c>
      <c r="B4" s="10">
        <f>COUNTA(第三轮全文筛选!H2:H72)</f>
        <v/>
      </c>
      <c r="C4" s="10" t="inlineStr">
        <is>
          <t>已填写筛选结果</t>
        </is>
      </c>
    </row>
    <row r="5" ht="18" customHeight="1">
      <c r="A5" s="10" t="inlineStr">
        <is>
          <t>待判决</t>
        </is>
      </c>
      <c r="B5" s="10">
        <f>B4-B5</f>
        <v/>
      </c>
      <c r="C5" s="10" t="inlineStr">
        <is>
          <t>尚未填写</t>
        </is>
      </c>
    </row>
    <row r="6" ht="18" customHeight="1">
      <c r="A6" s="10" t="inlineStr">
        <is>
          <t>完成进度</t>
        </is>
      </c>
      <c r="B6" s="11">
        <f>IFERROR(B5/B4,0)</f>
        <v/>
      </c>
      <c r="C6" s="10" t="inlineStr"/>
    </row>
    <row r="7" ht="18" customHeight="1">
      <c r="A7" s="10" t="inlineStr"/>
      <c r="B7" s="10" t="inlineStr"/>
      <c r="C7" s="10" t="inlineStr"/>
    </row>
    <row r="8" ht="18" customHeight="1">
      <c r="A8" s="10" t="inlineStr">
        <is>
          <t>纳入</t>
        </is>
      </c>
      <c r="B8" s="10">
        <f>COUNTIF(第三轮全文筛选!H$2:H$72,"纳入")</f>
        <v/>
      </c>
      <c r="C8" s="10" t="inlineStr"/>
    </row>
    <row r="9" ht="18" customHeight="1">
      <c r="A9" s="10" t="inlineStr">
        <is>
          <t>排除</t>
        </is>
      </c>
      <c r="B9" s="10">
        <f>COUNTIF(第三轮全文筛选!H$2:H$72,"排除")</f>
        <v/>
      </c>
      <c r="C9" s="10" t="inlineStr"/>
    </row>
    <row r="10" ht="18" customHeight="1">
      <c r="A10" s="10" t="inlineStr">
        <is>
          <t>不确定</t>
        </is>
      </c>
      <c r="B10" s="10">
        <f>COUNTIF(第三轮全文筛选!H$2:H$72,"不确定")</f>
        <v/>
      </c>
      <c r="C10" s="10" t="inlineStr">
        <is>
          <t>待进一步确认</t>
        </is>
      </c>
    </row>
    <row r="11" ht="18" customHeight="1">
      <c r="A11" s="10" t="inlineStr"/>
      <c r="B11" s="10" t="inlineStr"/>
      <c r="C11" s="10" t="inlineStr"/>
    </row>
    <row r="12" ht="18" customHeight="1">
      <c r="A12" s="9" t="inlineStr">
        <is>
          <t>排除原因明细</t>
        </is>
      </c>
      <c r="B12" s="9" t="inlineStr"/>
      <c r="C12" s="9" t="inlineStr"/>
    </row>
    <row r="13" ht="18" customHeight="1">
      <c r="A13" s="10" t="inlineStr">
        <is>
          <t>E1 人群不符</t>
        </is>
      </c>
      <c r="B13" s="10">
        <f>COUNTIF(第三轮全文筛选!I$2:I$72,"E1-人群不符")</f>
        <v/>
      </c>
      <c r="C13" s="10" t="inlineStr">
        <is>
          <t>年龄&lt;60或疾病人群</t>
        </is>
      </c>
    </row>
    <row r="14" ht="18" customHeight="1">
      <c r="A14" s="10" t="inlineStr">
        <is>
          <t>E2 干预不符</t>
        </is>
      </c>
      <c r="B14" s="10">
        <f>COUNTIF(第三轮全文筛选!I$2:I$72,"E2-干预不符")</f>
        <v/>
      </c>
      <c r="C14" s="10" t="inlineStr">
        <is>
          <t>WM非主要目标</t>
        </is>
      </c>
    </row>
    <row r="15" ht="18" customHeight="1">
      <c r="A15" s="10" t="inlineStr">
        <is>
          <t>E3 结局不符</t>
        </is>
      </c>
      <c r="B15" s="10">
        <f>COUNTIF(第三轮全文筛选!I$2:I$72,"E3-结局不符")</f>
        <v/>
      </c>
      <c r="C15" s="10" t="inlineStr">
        <is>
          <t>无认知行为结局</t>
        </is>
      </c>
    </row>
    <row r="16" ht="18" customHeight="1">
      <c r="A16" s="10" t="inlineStr">
        <is>
          <t>E4 研究设计</t>
        </is>
      </c>
      <c r="B16" s="10">
        <f>COUNTIF(第三轮全文筛选!I$2:I$72,"E4-研究设计")</f>
        <v/>
      </c>
      <c r="C16" s="10" t="inlineStr">
        <is>
          <t>综述/protocol/评论</t>
        </is>
      </c>
    </row>
    <row r="17" ht="18" customHeight="1">
      <c r="A17" s="10" t="inlineStr">
        <is>
          <t>E7 全文不可及</t>
        </is>
      </c>
      <c r="B17" s="10">
        <f>COUNTIF(第三轮全文筛选!I$2:I$72,"E7-全文不可及")</f>
        <v/>
      </c>
      <c r="C17" s="10" t="inlineStr">
        <is>
          <t>先补下载再标E7</t>
        </is>
      </c>
    </row>
    <row r="18" ht="18" customHeight="1">
      <c r="A18" s="10" t="inlineStr">
        <is>
          <t>E8 重复报告</t>
        </is>
      </c>
      <c r="B18" s="10">
        <f>COUNTIF(第三轮全文筛选!I$2:I$72,"E8-重复报告")</f>
        <v/>
      </c>
      <c r="C18" s="10" t="inlineStr">
        <is>
          <t>同数据集多篇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32" customWidth="1" min="3" max="3"/>
  </cols>
  <sheetData>
    <row r="1" ht="24" customHeight="1">
      <c r="A1" s="12" t="inlineStr">
        <is>
          <t>PICOS 第三轮全文筛选速查（v1.0，2026-04-02）</t>
        </is>
      </c>
    </row>
    <row r="2" ht="18" customHeight="1">
      <c r="A2" s="13" t="inlineStr">
        <is>
          <t>维度</t>
        </is>
      </c>
      <c r="B2" s="13" t="inlineStr">
        <is>
          <t>纳入标准</t>
        </is>
      </c>
      <c r="C2" s="13" t="inlineStr">
        <is>
          <t>排除 → 代码</t>
        </is>
      </c>
    </row>
    <row r="3" ht="52" customHeight="1">
      <c r="A3" s="14" t="inlineStr">
        <is>
          <t>P 人群</t>
        </is>
      </c>
      <c r="B3" s="14" t="inlineStr">
        <is>
          <t>健康老年人 ≥60岁，认知正常
有老年+青年对比组时老年组须≥60岁</t>
        </is>
      </c>
      <c r="C3" s="14" t="inlineStr">
        <is>
          <t>&lt;60岁（无老年组）→ E1
MCI/痴呆/帕金森/卒中 → E1
精神疾病/躯体疾病患者 → E1</t>
        </is>
      </c>
    </row>
    <row r="4" ht="52" customHeight="1">
      <c r="A4" s="14" t="inlineStr">
        <is>
          <t>I 干预</t>
        </is>
      </c>
      <c r="B4" s="14" t="inlineStr">
        <is>
          <t>WM为主要目标的认知训练
（n-back/complex span/Cogmed/WOME等）
&gt;=2次session；tDCS联合WM训练可纳入（备注"联合脑刺激"）</t>
        </is>
      </c>
      <c r="C4" s="14" t="inlineStr">
        <is>
          <t>记忆策略训练（记忆术）→ E2
多域训练且未单独报告WM效果 → E2
纯体力/药物/单独脑刺激/商业游戏 → E2</t>
        </is>
      </c>
    </row>
    <row r="5" ht="36" customHeight="1">
      <c r="A5" s="14" t="inlineStr">
        <is>
          <t>C 对照</t>
        </is>
      </c>
      <c r="B5" s="14" t="inlineStr">
        <is>
          <t>主动对照/被动对照/单组前后测
无对照但含调节因素分析的事后分析</t>
        </is>
      </c>
      <c r="C5" s="14" t="inlineStr">
        <is>
          <t>（无特定排除）</t>
        </is>
      </c>
    </row>
    <row r="6" ht="42" customHeight="1">
      <c r="A6" s="14" t="inlineStr">
        <is>
          <t>O 结局</t>
        </is>
      </c>
      <c r="B6" s="14" t="inlineStr">
        <is>
          <t>直接训练效应、近迁移（未训练WM任务）
远迁移（流体智力/执行功能/处理速度/注意/情景记忆）</t>
        </is>
      </c>
      <c r="C6" s="14" t="inlineStr">
        <is>
          <t>仅主观感受/生活质量/情绪 → E3
仅神经影像（无行为结局）→ E3</t>
        </is>
      </c>
    </row>
    <row r="7" ht="42" customHeight="1">
      <c r="A7" s="14" t="inlineStr">
        <is>
          <t>S 设计</t>
        </is>
      </c>
      <c r="B7" s="14" t="inlineStr">
        <is>
          <t>RCT、准实验、单组前后测、事后分析</t>
        </is>
      </c>
      <c r="C7" s="14" t="inlineStr">
        <is>
          <t>综述/Meta/系统综述 → E4
Protocol/评论/社论/信件 → E4
横断面研究 → E4</t>
        </is>
      </c>
    </row>
    <row r="8" ht="10" customHeight="1">
      <c r="A8" s="14" t="inlineStr"/>
      <c r="B8" s="14" t="inlineStr"/>
      <c r="C8" s="14" t="inlineStr"/>
    </row>
    <row r="9" ht="18" customHeight="1">
      <c r="A9" s="13" t="inlineStr">
        <is>
          <t>排除代码</t>
        </is>
      </c>
      <c r="B9" s="13" t="inlineStr">
        <is>
          <t>含义</t>
        </is>
      </c>
      <c r="C9" s="13" t="inlineStr">
        <is>
          <t>操作提示</t>
        </is>
      </c>
    </row>
    <row r="10" ht="18" customHeight="1">
      <c r="A10" s="14" t="inlineStr">
        <is>
          <t>E1</t>
        </is>
      </c>
      <c r="B10" s="14" t="inlineStr">
        <is>
          <t>人群不符</t>
        </is>
      </c>
      <c r="C10" s="14" t="inlineStr">
        <is>
          <t>Participants：年龄均值&gt;=60，无MCI/疾病</t>
        </is>
      </c>
    </row>
    <row r="11" ht="18" customHeight="1">
      <c r="A11" s="14" t="inlineStr">
        <is>
          <t>E2</t>
        </is>
      </c>
      <c r="B11" s="14" t="inlineStr">
        <is>
          <t>干预不符</t>
        </is>
      </c>
      <c r="C11" s="14" t="inlineStr">
        <is>
          <t>Intervention：WM是否为训练主要目标</t>
        </is>
      </c>
    </row>
    <row r="12" ht="18" customHeight="1">
      <c r="A12" s="14" t="inlineStr">
        <is>
          <t>E3</t>
        </is>
      </c>
      <c r="B12" s="14" t="inlineStr">
        <is>
          <t>结局不符</t>
        </is>
      </c>
      <c r="C12" s="14" t="inlineStr">
        <is>
          <t>Results：必须有认知行为测量数据</t>
        </is>
      </c>
    </row>
    <row r="13" ht="18" customHeight="1">
      <c r="A13" s="14" t="inlineStr">
        <is>
          <t>E4</t>
        </is>
      </c>
      <c r="B13" s="14" t="inlineStr">
        <is>
          <t>研究设计不符</t>
        </is>
      </c>
      <c r="C13" s="14" t="inlineStr">
        <is>
          <t>Protocol/综述/评论 → 排除</t>
        </is>
      </c>
    </row>
    <row r="14" ht="18" customHeight="1">
      <c r="A14" s="14" t="inlineStr">
        <is>
          <t>E7</t>
        </is>
      </c>
      <c r="B14" s="14" t="inlineStr">
        <is>
          <t>全文不可及</t>
        </is>
      </c>
      <c r="C14" s="14" t="inlineStr">
        <is>
          <t>先补下载；确实无法获取再标E7</t>
        </is>
      </c>
    </row>
    <row r="15" ht="18" customHeight="1">
      <c r="A15" s="14" t="inlineStr">
        <is>
          <t>E8</t>
        </is>
      </c>
      <c r="B15" s="14" t="inlineStr">
        <is>
          <t>重复报告</t>
        </is>
      </c>
      <c r="C15" s="14" t="inlineStr">
        <is>
          <t>同数据集多篇 → 保留主要结果文，其余标E8</t>
        </is>
      </c>
    </row>
    <row r="16" ht="10" customHeight="1">
      <c r="A16" s="14" t="inlineStr"/>
      <c r="B16" s="14" t="inlineStr"/>
      <c r="C16" s="14" t="inlineStr"/>
    </row>
    <row r="17" ht="18" customHeight="1">
      <c r="A17" s="14" t="inlineStr">
        <is>
          <t>快速流程</t>
        </is>
      </c>
      <c r="B17" s="14" t="inlineStr">
        <is>
          <t>① 年龄&gt;=60且认知正常？   否 → E1</t>
        </is>
      </c>
      <c r="C17" s="14" t="inlineStr"/>
    </row>
    <row r="18" ht="18" customHeight="1">
      <c r="A18" s="14" t="inlineStr"/>
      <c r="B18" s="14" t="inlineStr">
        <is>
          <t>② WM为主的认知训练？     否 → E2</t>
        </is>
      </c>
      <c r="C18" s="14" t="inlineStr"/>
    </row>
    <row r="19" ht="18" customHeight="1">
      <c r="A19" s="14" t="inlineStr"/>
      <c r="B19" s="14" t="inlineStr">
        <is>
          <t>③ 有认知行为结局？       否 → E3</t>
        </is>
      </c>
      <c r="C19" s="14" t="inlineStr"/>
    </row>
    <row r="20" ht="18" customHeight="1">
      <c r="A20" s="14" t="inlineStr"/>
      <c r="B20" s="14" t="inlineStr">
        <is>
          <t>④ 实证研究（非综述）？   否 → E4</t>
        </is>
      </c>
      <c r="C20" s="14" t="inlineStr"/>
    </row>
    <row r="21" ht="18" customHeight="1">
      <c r="A21" s="14" t="inlineStr"/>
      <c r="B21" s="14" t="inlineStr">
        <is>
          <t>⑤ 与已纳入文献重复？     是 → E8</t>
        </is>
      </c>
      <c r="C21" s="14" t="inlineStr"/>
    </row>
    <row r="22" ht="18" customHeight="1">
      <c r="A22" s="14" t="inlineStr"/>
      <c r="B22" s="14" t="inlineStr">
        <is>
          <t>⑥ 全通过 → 纳入</t>
        </is>
      </c>
      <c r="C22" s="1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2026-04-03T11:26:53Z</dcterms:created>
  <dcterms:modified xmlns:dcterms="http://purl.org/dc/terms/" xmlns:xsi="http://www.w3.org/2001/XMLSchema-instance" xsi:type="dcterms:W3CDTF">2026-04-03T12:56:03Z</dcterms:modified>
</cp:coreProperties>
</file>