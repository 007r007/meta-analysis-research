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三轮全文筛选" sheetId="1" state="visible" r:id="rId1"/>
    <sheet xmlns:r="http://schemas.openxmlformats.org/officeDocument/2006/relationships" name="进度统计" sheetId="2" state="visible" r:id="rId2"/>
    <sheet xmlns:r="http://schemas.openxmlformats.org/officeDocument/2006/relationships" name="PICOS速查" sheetId="3" state="visible" r:id="rId3"/>
  </sheets>
  <definedNames>
    <definedName name="_xlnm._FilterDatabase" localSheetId="0" hidden="1">'第三轮全文筛选'!$A$1:$L$110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b val="1"/>
      <color rgb="002F5496"/>
      <sz val="13"/>
    </font>
    <font>
      <b val="1"/>
      <sz val="10"/>
    </font>
    <font>
      <sz val="10"/>
    </font>
    <font>
      <b val="1"/>
      <color rgb="00375623"/>
      <sz val="10"/>
    </font>
    <font>
      <b val="1"/>
      <color rgb="002F5496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7F60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14" customWidth="1" min="4" max="4"/>
    <col width="55" customWidth="1" min="5" max="5"/>
    <col width="26" customWidth="1" min="6" max="6"/>
    <col width="32" customWidth="1" min="7" max="7"/>
    <col width="40" customWidth="1" min="8" max="8"/>
    <col width="13" customWidth="1" min="9" max="9"/>
    <col width="12" customWidth="1" min="10" max="10"/>
    <col width="30" customWidth="1" min="11" max="11"/>
    <col width="30" customWidth="1" min="12" max="12"/>
  </cols>
  <sheetData>
    <row r="1" ht="24" customHeight="1">
      <c r="A1" s="1" t="inlineStr">
        <is>
          <t>#</t>
        </is>
      </c>
      <c r="B1" s="1" t="inlineStr">
        <is>
          <t>原序号</t>
        </is>
      </c>
      <c r="C1" s="1" t="inlineStr">
        <is>
          <t>年份</t>
        </is>
      </c>
      <c r="D1" s="1" t="inlineStr">
        <is>
          <t>第一作者</t>
        </is>
      </c>
      <c r="E1" s="1" t="inlineStr">
        <is>
          <t>标题</t>
        </is>
      </c>
      <c r="F1" s="1" t="inlineStr">
        <is>
          <t>期刊</t>
        </is>
      </c>
      <c r="G1" s="1" t="inlineStr">
        <is>
          <t>DOI</t>
        </is>
      </c>
      <c r="H1" s="1" t="inlineStr">
        <is>
          <t>PDF文件名</t>
        </is>
      </c>
      <c r="I1" s="1" t="inlineStr">
        <is>
          <t>全文筛选结果</t>
        </is>
      </c>
      <c r="J1" s="1" t="inlineStr">
        <is>
          <t>排除代码</t>
        </is>
      </c>
      <c r="K1" s="1" t="inlineStr">
        <is>
          <t>排除原因说明</t>
        </is>
      </c>
      <c r="L1" s="1" t="inlineStr">
        <is>
          <t>备注</t>
        </is>
      </c>
    </row>
    <row r="2" ht="32" customHeight="1">
      <c r="A2" s="2" t="n">
        <v>1</v>
      </c>
      <c r="B2" s="2" t="n">
        <v>1</v>
      </c>
      <c r="C2" s="2" t="n">
        <v>2015</v>
      </c>
      <c r="D2" s="3" t="inlineStr">
        <is>
          <t>NL</t>
        </is>
      </c>
      <c r="E2" s="4" t="inlineStr">
        <is>
          <t>Association of Child Poverty, Brain Development, and Academic Achievement.</t>
        </is>
      </c>
      <c r="F2" s="3" t="inlineStr">
        <is>
          <t>JAMA pediatrics</t>
        </is>
      </c>
      <c r="G2" s="3" t="inlineStr">
        <is>
          <t>10.1001/jamapediatrics.2015.1475</t>
        </is>
      </c>
      <c r="H2" s="3" t="inlineStr">
        <is>
          <t>Hair 等 - 2015 - Association of child poverty, brain development, and academic achievement.pdf</t>
        </is>
      </c>
      <c r="I2" s="2" t="n"/>
      <c r="J2" s="2" t="n"/>
      <c r="K2" s="4" t="n"/>
      <c r="L2" s="4" t="n"/>
    </row>
    <row r="3" ht="32" customHeight="1">
      <c r="A3" s="2" t="n">
        <v>2</v>
      </c>
      <c r="B3" s="2" t="n">
        <v>2</v>
      </c>
      <c r="C3" s="2" t="n">
        <v>2014</v>
      </c>
      <c r="D3" s="3" t="inlineStr">
        <is>
          <t>CA</t>
        </is>
      </c>
      <c r="E3" s="4" t="inlineStr">
        <is>
          <t>White matter morphometric changes uniquely predict children's reading acquisition.</t>
        </is>
      </c>
      <c r="F3" s="3" t="inlineStr">
        <is>
          <t>Psychological science</t>
        </is>
      </c>
      <c r="G3" s="3" t="inlineStr">
        <is>
          <t>10.1177/0956797614544511</t>
        </is>
      </c>
      <c r="H3" s="3" t="inlineStr">
        <is>
          <t>Myers 等 - 2014 - White matter morphometric changes uniquely predict children’s reading acquisition.pdf</t>
        </is>
      </c>
      <c r="I3" s="2" t="n"/>
      <c r="J3" s="2" t="n"/>
      <c r="K3" s="4" t="n"/>
      <c r="L3" s="4" t="n"/>
    </row>
    <row r="4" ht="32" customHeight="1">
      <c r="A4" s="2" t="n">
        <v>3</v>
      </c>
      <c r="B4" s="2" t="n">
        <v>3</v>
      </c>
      <c r="C4" s="2" t="n">
        <v>2024</v>
      </c>
      <c r="D4" s="3" t="inlineStr">
        <is>
          <t>AR</t>
        </is>
      </c>
      <c r="E4" s="4" t="inlineStr">
        <is>
          <t>Neonatal Physical Growth Predicts Electroencephalography Power in Rural South African Children.</t>
        </is>
      </c>
      <c r="F4" s="3" t="inlineStr">
        <is>
          <t>Brain sciences</t>
        </is>
      </c>
      <c r="G4" s="3" t="inlineStr">
        <is>
          <t>10.3390/brainsci14060552</t>
        </is>
      </c>
      <c r="H4" s="3" t="inlineStr">
        <is>
          <t>Tarullo 等 - 2024 - Neonatal physical growth predicts electroencephalography power in rural south african children.pdf</t>
        </is>
      </c>
      <c r="I4" s="2" t="n"/>
      <c r="J4" s="2" t="n"/>
      <c r="K4" s="4" t="n"/>
      <c r="L4" s="4" t="n"/>
    </row>
    <row r="5" ht="32" customHeight="1">
      <c r="A5" s="2" t="n">
        <v>4</v>
      </c>
      <c r="B5" s="2" t="n">
        <v>4</v>
      </c>
      <c r="C5" s="2" t="n">
        <v>2023</v>
      </c>
      <c r="D5" s="3" t="inlineStr">
        <is>
          <t>CQ</t>
        </is>
      </c>
      <c r="E5" s="4" t="inlineStr">
        <is>
          <t>Cerebellar growth, volume and diffusivity in children cooled for neonatal encephalopathy without cerebral palsy.</t>
        </is>
      </c>
      <c r="F5" s="3" t="inlineStr">
        <is>
          <t>Scientific reports</t>
        </is>
      </c>
      <c r="G5" s="3" t="inlineStr">
        <is>
          <t>10.1038/s41598-023-41838-3</t>
        </is>
      </c>
      <c r="H5" s="3" t="inlineStr">
        <is>
          <t>Wu 等 - 2023 - Cerebellar growth, volume and diffusivity in children cooled for neonatal encephalopathy without cer.pdf</t>
        </is>
      </c>
      <c r="I5" s="2" t="n"/>
      <c r="J5" s="2" t="n"/>
      <c r="K5" s="4" t="n"/>
      <c r="L5" s="4" t="n"/>
    </row>
    <row r="6" ht="32" customHeight="1">
      <c r="A6" s="2" t="n">
        <v>5</v>
      </c>
      <c r="B6" s="2" t="n">
        <v>5</v>
      </c>
      <c r="C6" s="2" t="n">
        <v>2024</v>
      </c>
      <c r="D6" s="3" t="inlineStr">
        <is>
          <t>AS</t>
        </is>
      </c>
      <c r="E6" s="4" t="inlineStr">
        <is>
          <t>Socioeconomic Inequalities Affect Brain Responses of Infants Growing Up in Germany.</t>
        </is>
      </c>
      <c r="F6" s="3" t="inlineStr">
        <is>
          <t>Brain sciences</t>
        </is>
      </c>
      <c r="G6" s="3" t="inlineStr">
        <is>
          <t>10.3390/brainsci14060560</t>
        </is>
      </c>
      <c r="H6" s="3" t="inlineStr">
        <is>
          <t>Wienke和Mathes - 2024 - Socioeconomic inequalities affect brain responses of infants growing up in Germany.pdf</t>
        </is>
      </c>
      <c r="I6" s="2" t="n"/>
      <c r="J6" s="2" t="n"/>
      <c r="K6" s="4" t="n"/>
      <c r="L6" s="4" t="n"/>
    </row>
    <row r="7" ht="32" customHeight="1">
      <c r="A7" s="2" t="n">
        <v>6</v>
      </c>
      <c r="B7" s="2" t="n">
        <v>7</v>
      </c>
      <c r="C7" s="2" t="n">
        <v>2021</v>
      </c>
      <c r="D7" s="3" t="inlineStr">
        <is>
          <t>SV</t>
        </is>
      </c>
      <c r="E7" s="4" t="inlineStr">
        <is>
          <t>Feasibility of assessing brain activity using mobile, in-home collection of electroencephalography: methods and analysis.</t>
        </is>
      </c>
      <c r="F7" s="3" t="inlineStr">
        <is>
          <t>Developmental psychobiology</t>
        </is>
      </c>
      <c r="G7" s="3" t="inlineStr">
        <is>
          <t>10.1002/dev.22128</t>
        </is>
      </c>
      <c r="H7" s="3" t="inlineStr">
        <is>
          <t>Troller-Renfree 等 - 2021 - Feasibility of assessing brain activity using mobile, in-home collection of electroencephalography.pdf</t>
        </is>
      </c>
      <c r="I7" s="2" t="n"/>
      <c r="J7" s="2" t="n"/>
      <c r="K7" s="4" t="n"/>
      <c r="L7" s="4" t="n"/>
    </row>
    <row r="8" ht="32" customHeight="1">
      <c r="A8" s="2" t="n">
        <v>7</v>
      </c>
      <c r="B8" s="2" t="n">
        <v>8</v>
      </c>
      <c r="C8" s="2" t="n">
        <v>2019</v>
      </c>
      <c r="D8" s="3" t="inlineStr">
        <is>
          <t>S</t>
        </is>
      </c>
      <c r="E8" s="4" t="inlineStr">
        <is>
          <t>Early adversity in rural India impacts the brain networks underlying visual working memory.</t>
        </is>
      </c>
      <c r="F8" s="3" t="inlineStr">
        <is>
          <t>Developmental science</t>
        </is>
      </c>
      <c r="G8" s="3" t="inlineStr">
        <is>
          <t>10.1111/desc.12822</t>
        </is>
      </c>
      <c r="H8" s="3" t="inlineStr">
        <is>
          <t>Wijeakumar 等 - 2019 - Early adversity in rural India impacts the brain networks underlying visual working memory.pdf</t>
        </is>
      </c>
      <c r="I8" s="2" t="n"/>
      <c r="J8" s="2" t="n"/>
      <c r="K8" s="4" t="n"/>
      <c r="L8" s="4" t="n"/>
    </row>
    <row r="9" ht="32" customHeight="1">
      <c r="A9" s="2" t="n">
        <v>8</v>
      </c>
      <c r="B9" s="2" t="n">
        <v>9</v>
      </c>
      <c r="C9" s="2" t="n">
        <v>2016</v>
      </c>
      <c r="D9" s="3" t="inlineStr">
        <is>
          <t>AP</t>
        </is>
      </c>
      <c r="E9" s="4" t="inlineStr">
        <is>
          <t>Thalamocortical functional connectivity and behavioral disruptions in neonates with prenatal cocaine exposure.</t>
        </is>
      </c>
      <c r="F9" s="3" t="inlineStr">
        <is>
          <t>Neurotoxicology and teratology</t>
        </is>
      </c>
      <c r="G9" s="3" t="inlineStr">
        <is>
          <t>10.1016/j.ntt.2016.05.009</t>
        </is>
      </c>
      <c r="H9" s="3" t="inlineStr">
        <is>
          <t>Salzwedel 等 - 2016 - Thalamocortical functional connectivity and behavioral disruptions in neonates with prenatal cocaine.pdf</t>
        </is>
      </c>
      <c r="I9" s="2" t="n"/>
      <c r="J9" s="2" t="n"/>
      <c r="K9" s="4" t="n"/>
      <c r="L9" s="4" t="n"/>
    </row>
    <row r="10" ht="32" customHeight="1">
      <c r="A10" s="2" t="n">
        <v>9</v>
      </c>
      <c r="B10" s="2" t="n">
        <v>10</v>
      </c>
      <c r="C10" s="2" t="n">
        <v>2015</v>
      </c>
      <c r="D10" s="3" t="inlineStr">
        <is>
          <t>ML</t>
        </is>
      </c>
      <c r="E10" s="4" t="inlineStr">
        <is>
          <t>Maternal Postsecondary Education Associated With Improved Cerebellar Growth After Preterm Birth.</t>
        </is>
      </c>
      <c r="F10" s="3" t="inlineStr">
        <is>
          <t>Journal of child neurology</t>
        </is>
      </c>
      <c r="G10" s="3" t="inlineStr">
        <is>
          <t>10.1177/0883073815576790</t>
        </is>
      </c>
      <c r="H10" s="3" t="inlineStr">
        <is>
          <t>Stiver 等 - 2015 - Maternal postsecondary education associated with improved cerebellar growth after preterm birth.pdf</t>
        </is>
      </c>
      <c r="I10" s="2" t="n"/>
      <c r="J10" s="2" t="n"/>
      <c r="K10" s="4" t="n"/>
      <c r="L10" s="4" t="n"/>
    </row>
    <row r="11" ht="32" customHeight="1">
      <c r="A11" s="2" t="n">
        <v>10</v>
      </c>
      <c r="B11" s="2" t="n">
        <v>12</v>
      </c>
      <c r="C11" s="2" t="n">
        <v>2005</v>
      </c>
      <c r="D11" s="3" t="inlineStr">
        <is>
          <t>MR</t>
        </is>
      </c>
      <c r="E11" s="4" t="inlineStr">
        <is>
          <t>Cognitive and neuroimaging findings in physically abused preschoolers.</t>
        </is>
      </c>
      <c r="F11" s="3" t="inlineStr">
        <is>
          <t>Archives of disease in childhood</t>
        </is>
      </c>
      <c r="G11" s="3" t="inlineStr">
        <is>
          <t>10.1136/adc.2003.045583</t>
        </is>
      </c>
      <c r="H11" s="3" t="inlineStr">
        <is>
          <t>Prasad - 2005 - Cognitive and neuroimaging findings in physically abused preschoolers.pdf</t>
        </is>
      </c>
      <c r="I11" s="2" t="n"/>
      <c r="J11" s="2" t="n"/>
      <c r="K11" s="4" t="n"/>
      <c r="L11" s="4" t="n"/>
    </row>
    <row r="12" ht="32" customHeight="1">
      <c r="A12" s="2" t="n">
        <v>11</v>
      </c>
      <c r="B12" s="2" t="n">
        <v>13</v>
      </c>
      <c r="C12" s="2" t="n">
        <v>2021</v>
      </c>
      <c r="D12" s="3" t="inlineStr">
        <is>
          <t>EL</t>
        </is>
      </c>
      <c r="E12" s="4" t="inlineStr">
        <is>
          <t>Reduced postpartum hippocampal volume is associated with positive mother-infant caregiving behavior.</t>
        </is>
      </c>
      <c r="F12" s="3" t="inlineStr">
        <is>
          <t>Journal of affective disorders</t>
        </is>
      </c>
      <c r="G12" s="3" t="inlineStr">
        <is>
          <t>10.1016/j.jad.2020.12.014</t>
        </is>
      </c>
      <c r="H12" s="3" t="inlineStr">
        <is>
          <t>Moses-Kolko 等 - 2021 - Reduced postpartum hippocampal volume is associated with positive mother-infant caregiving behavior.pdf</t>
        </is>
      </c>
      <c r="I12" s="2" t="n"/>
      <c r="J12" s="2" t="n"/>
      <c r="K12" s="4" t="n"/>
      <c r="L12" s="4" t="n"/>
    </row>
    <row r="13" ht="32" customHeight="1">
      <c r="A13" s="2" t="n">
        <v>12</v>
      </c>
      <c r="B13" s="2" t="n">
        <v>14</v>
      </c>
      <c r="C13" s="2" t="n">
        <v>2020</v>
      </c>
      <c r="D13" s="3" t="inlineStr">
        <is>
          <t>I</t>
        </is>
      </c>
      <c r="E13" s="4" t="inlineStr">
        <is>
          <t>Socioeconomic status and brain injury in children born preterm: modifying neurodevelopmental outcome.</t>
        </is>
      </c>
      <c r="F13" s="3" t="inlineStr">
        <is>
          <t>Pediatric research</t>
        </is>
      </c>
      <c r="G13" s="3" t="inlineStr">
        <is>
          <t>10.1038/s41390-019-0646-7</t>
        </is>
      </c>
      <c r="H13" s="3" t="inlineStr">
        <is>
          <t>Benavente-Fernández 等 - 2020 - Socioeconomic status and brain injury in children born preterm Modifying neurodevelopmental outcome.pdf</t>
        </is>
      </c>
      <c r="I13" s="2" t="n"/>
      <c r="J13" s="2" t="n"/>
      <c r="K13" s="4" t="n"/>
      <c r="L13" s="4" t="n"/>
    </row>
    <row r="14" ht="32" customHeight="1">
      <c r="A14" s="2" t="n">
        <v>13</v>
      </c>
      <c r="B14" s="2" t="n">
        <v>15</v>
      </c>
      <c r="C14" s="2" t="n">
        <v>2020</v>
      </c>
      <c r="D14" s="3" t="inlineStr">
        <is>
          <t>NH</t>
        </is>
      </c>
      <c r="E14" s="4" t="inlineStr">
        <is>
          <t>Associations among the home language environment and neural activity during infancy.</t>
        </is>
      </c>
      <c r="F14" s="3" t="inlineStr">
        <is>
          <t>Developmental cognitive neuroscience</t>
        </is>
      </c>
      <c r="G14" s="3" t="inlineStr">
        <is>
          <t>10.1016/j.dcn.2020.100780</t>
        </is>
      </c>
      <c r="H14" s="3" t="inlineStr">
        <is>
          <t>Brito 等 - 2020 - Associations among the home language environment and neural activity during infancy.pdf</t>
        </is>
      </c>
      <c r="I14" s="2" t="n"/>
      <c r="J14" s="2" t="n"/>
      <c r="K14" s="4" t="n"/>
      <c r="L14" s="4" t="n"/>
    </row>
    <row r="15" ht="32" customHeight="1">
      <c r="A15" s="2" t="n">
        <v>14</v>
      </c>
      <c r="B15" s="2" t="n">
        <v>16</v>
      </c>
      <c r="C15" s="2" t="n">
        <v>2016</v>
      </c>
      <c r="D15" s="3" t="inlineStr">
        <is>
          <t>JY</t>
        </is>
      </c>
      <c r="E15" s="4" t="inlineStr">
        <is>
          <t>Clinical Electroencephalographic Biomarker for Impending Epilepsy in Asymptomatic Tuberous Sclerosis Complex Infants.</t>
        </is>
      </c>
      <c r="F15" s="3" t="inlineStr">
        <is>
          <t>Pediatric neurology</t>
        </is>
      </c>
      <c r="G15" s="3" t="inlineStr">
        <is>
          <t>10.1016/j.pediatrneurol.2015.09.013</t>
        </is>
      </c>
      <c r="H15" s="3" t="inlineStr">
        <is>
          <t>Wu 等 - 2016 - Clinical electroencephalographic biomarker for impending epilepsy in asymptomatic tuberous sclerosis.pdf</t>
        </is>
      </c>
      <c r="I15" s="2" t="n"/>
      <c r="J15" s="2" t="n"/>
      <c r="K15" s="4" t="n"/>
      <c r="L15" s="4" t="n"/>
    </row>
    <row r="16" ht="32" customHeight="1">
      <c r="A16" s="2" t="n">
        <v>15</v>
      </c>
      <c r="B16" s="2" t="n">
        <v>17</v>
      </c>
      <c r="C16" s="2" t="n">
        <v>2023</v>
      </c>
      <c r="D16" s="3" t="inlineStr">
        <is>
          <t>K</t>
        </is>
      </c>
      <c r="E16" s="4" t="inlineStr">
        <is>
          <t>Association of Preterm Birth and Socioeconomic Status With Neonatal Brain Structure.</t>
        </is>
      </c>
      <c r="F16" s="3" t="inlineStr">
        <is>
          <t>JAMA network open</t>
        </is>
      </c>
      <c r="G16" s="3" t="inlineStr">
        <is>
          <t>10.1001/jamanetworkopen.2023.16067</t>
        </is>
      </c>
      <c r="H16" s="3" t="inlineStr">
        <is>
          <t>Mckinnon 等 - 2023 - Association of Preterm Birth and Socioeconomic Status With Neonatal Brain Structure.pdf</t>
        </is>
      </c>
      <c r="I16" s="2" t="n"/>
      <c r="J16" s="2" t="n"/>
      <c r="K16" s="4" t="n"/>
      <c r="L16" s="4" t="n"/>
    </row>
    <row r="17" ht="32" customHeight="1">
      <c r="A17" s="2" t="n">
        <v>16</v>
      </c>
      <c r="B17" s="2" t="n">
        <v>18</v>
      </c>
      <c r="C17" s="2" t="n">
        <v>2022</v>
      </c>
      <c r="D17" s="3" t="inlineStr">
        <is>
          <t>SV</t>
        </is>
      </c>
      <c r="E17" s="4" t="inlineStr">
        <is>
          <t>The impact of a poverty reduction intervention on infant brain activity.</t>
        </is>
      </c>
      <c r="F17" s="3" t="inlineStr">
        <is>
          <t>Proceedings of the National Academy of Sciences of the United States of America</t>
        </is>
      </c>
      <c r="G17" s="3" t="inlineStr">
        <is>
          <t>10.1073/pnas.2115649119</t>
        </is>
      </c>
      <c r="H17" s="3" t="inlineStr">
        <is>
          <t>Troller-Renfree 等 - 2022 - The impact of a poverty reduction intervention on infant brain activity.pdf</t>
        </is>
      </c>
      <c r="I17" s="2" t="n"/>
      <c r="J17" s="2" t="n"/>
      <c r="K17" s="4" t="n"/>
      <c r="L17" s="4" t="n"/>
    </row>
    <row r="18" ht="32" customHeight="1">
      <c r="A18" s="2" t="n">
        <v>17</v>
      </c>
      <c r="B18" s="2" t="n">
        <v>19</v>
      </c>
      <c r="C18" s="2" t="n">
        <v>2020</v>
      </c>
      <c r="D18" s="3" t="inlineStr">
        <is>
          <t>L</t>
        </is>
      </c>
      <c r="E18" s="4" t="inlineStr">
        <is>
          <t>ERP markers are associated with neurodevelopmental outcomes in 1-5 month old infants in rural Africa and the UK.</t>
        </is>
      </c>
      <c r="F18" s="3" t="inlineStr">
        <is>
          <t>NeuroImage</t>
        </is>
      </c>
      <c r="G18" s="3" t="inlineStr">
        <is>
          <t>10.1016/j.neuroimage.2020.116591</t>
        </is>
      </c>
      <c r="H18" s="3" t="inlineStr">
        <is>
          <t>Katus 等 - 2020 - ERP markers are associated with neurodevelopmental outcomes in 1–5 month old infants in rural africa.pdf</t>
        </is>
      </c>
      <c r="I18" s="2" t="n"/>
      <c r="J18" s="2" t="n"/>
      <c r="K18" s="4" t="n"/>
      <c r="L18" s="4" t="n"/>
    </row>
    <row r="19" ht="32" customHeight="1">
      <c r="A19" s="2" t="n">
        <v>18</v>
      </c>
      <c r="B19" s="2" t="n">
        <v>20</v>
      </c>
      <c r="C19" s="2" t="n">
        <v>2020</v>
      </c>
      <c r="D19" s="3" t="inlineStr">
        <is>
          <t>KS</t>
        </is>
      </c>
      <c r="E19" s="4" t="inlineStr">
        <is>
          <t>Genetic and epigenetic factors and early life inflammation as predictors of neurodevelopmental outcomes.</t>
        </is>
      </c>
      <c r="F19" s="3" t="inlineStr">
        <is>
          <t>Seminars in fetal &amp; neonatal medicine</t>
        </is>
      </c>
      <c r="G19" s="3" t="inlineStr">
        <is>
          <t>10.1016/j.siny.2020.101115</t>
        </is>
      </c>
      <c r="H19" s="3" t="inlineStr">
        <is>
          <t>Oldenburg 等 - 2020 - Genetic and epigenetic factors and early life inflammation as predictors of neurodevelopmental outco.pdf</t>
        </is>
      </c>
      <c r="I19" s="2" t="n"/>
      <c r="J19" s="2" t="n"/>
      <c r="K19" s="4" t="n"/>
      <c r="L19" s="4" t="n"/>
    </row>
    <row r="20" ht="32" customHeight="1">
      <c r="A20" s="2" t="n">
        <v>19</v>
      </c>
      <c r="B20" s="2" t="n">
        <v>22</v>
      </c>
      <c r="C20" s="2" t="n">
        <v>2023</v>
      </c>
      <c r="D20" s="3" t="inlineStr">
        <is>
          <t>C</t>
        </is>
      </c>
      <c r="E20" s="4" t="inlineStr">
        <is>
          <t>Trajectories of brain volumes in young children are associated with maternal education.</t>
        </is>
      </c>
      <c r="F20" s="3" t="inlineStr">
        <is>
          <t>Human brain mapping</t>
        </is>
      </c>
      <c r="G20" s="3" t="inlineStr">
        <is>
          <t>10.1002/hbm.26271</t>
        </is>
      </c>
      <c r="H20" s="3" t="inlineStr">
        <is>
          <t>Zhu 等 - 2023 - Trajectories of brain volumes in young children are associated with maternal education.pdf</t>
        </is>
      </c>
      <c r="I20" s="2" t="n"/>
      <c r="J20" s="2" t="n"/>
      <c r="K20" s="4" t="n"/>
      <c r="L20" s="4" t="n"/>
    </row>
    <row r="21" ht="32" customHeight="1">
      <c r="A21" s="2" t="n">
        <v>20</v>
      </c>
      <c r="B21" s="2" t="n">
        <v>23</v>
      </c>
      <c r="C21" s="2" t="n">
        <v>2024</v>
      </c>
      <c r="D21" s="3" t="inlineStr">
        <is>
          <t>J</t>
        </is>
      </c>
      <c r="E21" s="4" t="inlineStr">
        <is>
          <t>Socioeconomic status moderates associations between hippocampal development and cognition in preterms.</t>
        </is>
      </c>
      <c r="F21" s="3" t="inlineStr">
        <is>
          <t>Annals of clinical and translational neurology</t>
        </is>
      </c>
      <c r="G21" s="3" t="inlineStr">
        <is>
          <t>10.1002/acn3.52168</t>
        </is>
      </c>
      <c r="H21" s="3" t="inlineStr">
        <is>
          <t>Konrad 等 - 2024 - Socioeconomic status moderates associations between hippocampal development and cognition in preterm.pdf</t>
        </is>
      </c>
      <c r="I21" s="2" t="n"/>
      <c r="J21" s="2" t="n"/>
      <c r="K21" s="4" t="n"/>
      <c r="L21" s="4" t="n"/>
    </row>
    <row r="22" ht="32" customHeight="1">
      <c r="A22" s="2" t="n">
        <v>21</v>
      </c>
      <c r="B22" s="2" t="n">
        <v>24</v>
      </c>
      <c r="C22" s="2" t="n">
        <v>2022</v>
      </c>
      <c r="D22" s="3" t="inlineStr">
        <is>
          <t>RL</t>
        </is>
      </c>
      <c r="E22" s="4" t="inlineStr">
        <is>
          <t>Association of Prenatal Exposure to Early-Life Adversity With Neonatal Brain Volumes at Birth.</t>
        </is>
      </c>
      <c r="F22" s="3" t="inlineStr">
        <is>
          <t>JAMA network open</t>
        </is>
      </c>
      <c r="G22" s="3" t="inlineStr">
        <is>
          <t>10.1001/jamanetworkopen.2022.7045</t>
        </is>
      </c>
      <c r="H22" s="3" t="inlineStr">
        <is>
          <t>Triplett 等 - 2022 - Association of prenatal exposure to early-life adversity with neonatal brain volumes at birth.pdf</t>
        </is>
      </c>
      <c r="I22" s="2" t="n"/>
      <c r="J22" s="2" t="n"/>
      <c r="K22" s="4" t="n"/>
      <c r="L22" s="4" t="n"/>
    </row>
    <row r="23" ht="32" customHeight="1">
      <c r="A23" s="2" t="n">
        <v>22</v>
      </c>
      <c r="B23" s="2" t="n">
        <v>25</v>
      </c>
      <c r="C23" s="2" t="n">
        <v>2019</v>
      </c>
      <c r="D23" s="3" t="inlineStr">
        <is>
          <t>Y</t>
        </is>
      </c>
      <c r="E23" s="4" t="inlineStr">
        <is>
          <t>Socioeconomic disparity in prefrontal development during early childhood.</t>
        </is>
      </c>
      <c r="F23" s="3" t="inlineStr">
        <is>
          <t>Scientific reports</t>
        </is>
      </c>
      <c r="G23" s="3" t="inlineStr">
        <is>
          <t>10.1038/s41598-019-39255-6</t>
        </is>
      </c>
      <c r="H23" s="3" t="inlineStr">
        <is>
          <t>Moriguchi和Shinohara - 2019 - Socioeconomic disparity in prefrontal development during early childhood.pdf</t>
        </is>
      </c>
      <c r="I23" s="2" t="n"/>
      <c r="J23" s="2" t="n"/>
      <c r="K23" s="4" t="n"/>
      <c r="L23" s="4" t="n"/>
    </row>
    <row r="24" ht="32" customHeight="1">
      <c r="A24" s="2" t="n">
        <v>23</v>
      </c>
      <c r="B24" s="2" t="n">
        <v>26</v>
      </c>
      <c r="C24" s="2" t="n">
        <v>2021</v>
      </c>
      <c r="D24" s="3" t="inlineStr">
        <is>
          <t>ÖE</t>
        </is>
      </c>
      <c r="E24" s="4" t="inlineStr">
        <is>
          <t>Neurocognitive basis of deductive reasoning in children varies with parental education.</t>
        </is>
      </c>
      <c r="F24" s="3" t="inlineStr">
        <is>
          <t>Human brain mapping</t>
        </is>
      </c>
      <c r="G24" s="3" t="inlineStr">
        <is>
          <t>10.1002/hbm.25441</t>
        </is>
      </c>
      <c r="H24" s="3" t="inlineStr">
        <is>
          <t>Demir-Lira 等 - 2021 - Neurocognitive basis of deductive reasoning in children varies with parental education.pdf</t>
        </is>
      </c>
      <c r="I24" s="2" t="n"/>
      <c r="J24" s="2" t="n"/>
      <c r="K24" s="4" t="n"/>
      <c r="L24" s="4" t="n"/>
    </row>
    <row r="25" ht="32" customHeight="1">
      <c r="A25" s="2" t="n">
        <v>24</v>
      </c>
      <c r="B25" s="2" t="n">
        <v>27</v>
      </c>
      <c r="C25" s="2" t="n">
        <v>2016</v>
      </c>
      <c r="D25" s="3" t="inlineStr">
        <is>
          <t>NH</t>
        </is>
      </c>
      <c r="E25" s="4" t="inlineStr">
        <is>
          <t>Associations among family socioeconomic status, EEG power at birth, and cognitive skills during infancy.</t>
        </is>
      </c>
      <c r="F25" s="3" t="inlineStr">
        <is>
          <t>Developmental cognitive neuroscience</t>
        </is>
      </c>
      <c r="G25" s="3" t="inlineStr">
        <is>
          <t>10.1016/j.dcn.2016.03.004</t>
        </is>
      </c>
      <c r="H25" s="3" t="inlineStr">
        <is>
          <t>Brito 等 - 2016 - Associations among family socioeconomic status, EEG power at birth, and cognitive skills during infa.pdf</t>
        </is>
      </c>
      <c r="I25" s="2" t="n"/>
      <c r="J25" s="2" t="n"/>
      <c r="K25" s="4" t="n"/>
      <c r="L25" s="4" t="n"/>
    </row>
    <row r="26" ht="32" customHeight="1">
      <c r="A26" s="2" t="n">
        <v>25</v>
      </c>
      <c r="B26" s="2" t="n">
        <v>28</v>
      </c>
      <c r="C26" s="2" t="n">
        <v>2018</v>
      </c>
      <c r="D26" s="3" t="inlineStr">
        <is>
          <t>RR</t>
        </is>
      </c>
      <c r="E26" s="4" t="inlineStr">
        <is>
          <t>Language Exposure Relates to Structural Neural Connectivity in Childhood.</t>
        </is>
      </c>
      <c r="F26" s="3" t="inlineStr">
        <is>
          <t>The Journal of neuroscience : the official journal of the Society for Neuroscience</t>
        </is>
      </c>
      <c r="G26" s="3" t="inlineStr">
        <is>
          <t>10.1523/JNEUROSCI.0484-18.2018</t>
        </is>
      </c>
      <c r="H26" s="3" t="inlineStr">
        <is>
          <t>Romeo 等 - 2018 - Language exposure relates to structural neural connectivity in childhood.pdf</t>
        </is>
      </c>
      <c r="I26" s="2" t="n"/>
      <c r="J26" s="2" t="n"/>
      <c r="K26" s="4" t="n"/>
      <c r="L26" s="4" t="n"/>
    </row>
    <row r="27" ht="32" customHeight="1">
      <c r="A27" s="2" t="n">
        <v>26</v>
      </c>
      <c r="B27" s="2" t="n">
        <v>29</v>
      </c>
      <c r="C27" s="2" t="n">
        <v>2023</v>
      </c>
      <c r="D27" s="3" t="inlineStr">
        <is>
          <t>A</t>
        </is>
      </c>
      <c r="E27" s="4" t="inlineStr">
        <is>
          <t>Emotion regulation and reactivity are associated with cortical thickness in early to mid-childhood.</t>
        </is>
      </c>
      <c r="F27" s="3" t="inlineStr">
        <is>
          <t>Developmental psychobiology</t>
        </is>
      </c>
      <c r="G27" s="3" t="inlineStr">
        <is>
          <t>10.1002/dev.22412</t>
        </is>
      </c>
      <c r="H27" s="3" t="inlineStr">
        <is>
          <t>Ewell 等 - 2023 - Emotion regulation and reactivity are associated with cortical thickness in early to mid-childhood.pdf</t>
        </is>
      </c>
      <c r="I27" s="2" t="n"/>
      <c r="J27" s="2" t="n"/>
      <c r="K27" s="4" t="n"/>
      <c r="L27" s="4" t="n"/>
    </row>
    <row r="28" ht="32" customHeight="1">
      <c r="A28" s="2" t="n">
        <v>27</v>
      </c>
      <c r="B28" s="2" t="n">
        <v>30</v>
      </c>
      <c r="C28" s="2" t="n">
        <v>2019</v>
      </c>
      <c r="D28" s="3" t="inlineStr">
        <is>
          <t>JA</t>
        </is>
      </c>
      <c r="E28" s="4" t="inlineStr">
        <is>
          <t>Associations between cortical thickness and reasoning differ by socioeconomic status in development.</t>
        </is>
      </c>
      <c r="F28" s="3" t="inlineStr">
        <is>
          <t>Developmental cognitive neuroscience</t>
        </is>
      </c>
      <c r="G28" s="3" t="inlineStr">
        <is>
          <t>10.1016/j.dcn.2019.100641</t>
        </is>
      </c>
      <c r="H28" s="3" t="inlineStr">
        <is>
          <t>Leonard 等 - 2019 - Associations between cortical thickness and reasoning differ by socioeconomic status in development.pdf</t>
        </is>
      </c>
      <c r="I28" s="2" t="n"/>
      <c r="J28" s="2" t="n"/>
      <c r="K28" s="4" t="n"/>
      <c r="L28" s="4" t="n"/>
    </row>
    <row r="29" ht="32" customHeight="1">
      <c r="A29" s="2" t="n">
        <v>28</v>
      </c>
      <c r="B29" s="2" t="n">
        <v>31</v>
      </c>
      <c r="C29" s="2" t="n">
        <v>2020</v>
      </c>
      <c r="D29" s="3" t="inlineStr">
        <is>
          <t>B</t>
        </is>
      </c>
      <c r="E29" s="4" t="inlineStr">
        <is>
          <t>Brain connectivity and socioeconomic status at birth and externalizing symptoms at age 2 years.</t>
        </is>
      </c>
      <c r="F29" s="3" t="inlineStr">
        <is>
          <t>Developmental cognitive neuroscience</t>
        </is>
      </c>
      <c r="G29" s="3" t="inlineStr">
        <is>
          <t>10.1016/j.dcn.2020.100811</t>
        </is>
      </c>
      <c r="H29" s="3" t="inlineStr">
        <is>
          <t>Ramphal 等 - 2020 - Brain connectivity and socioeconomic status at birth and externalizing symptoms at age 2 years.pdf</t>
        </is>
      </c>
      <c r="I29" s="2" t="n"/>
      <c r="J29" s="2" t="n"/>
      <c r="K29" s="4" t="n"/>
      <c r="L29" s="4" t="n"/>
    </row>
    <row r="30" ht="32" customHeight="1">
      <c r="A30" s="2" t="n">
        <v>29</v>
      </c>
      <c r="B30" s="2" t="n">
        <v>32</v>
      </c>
      <c r="C30" s="2" t="n">
        <v>2025</v>
      </c>
      <c r="D30" s="3" t="inlineStr">
        <is>
          <t>G</t>
        </is>
      </c>
      <c r="E30" s="4" t="inlineStr">
        <is>
          <t>Prenatal Household Income Instability and Infant Subcortical Brain Volumes.</t>
        </is>
      </c>
      <c r="F30" s="3" t="inlineStr">
        <is>
          <t>Developmental science</t>
        </is>
      </c>
      <c r="G30" s="3" t="inlineStr">
        <is>
          <t>10.1111/desc.70022</t>
        </is>
      </c>
      <c r="H30" s="3" t="inlineStr">
        <is>
          <t>Patterson 等 - 2025 - Prenatal household income instability and infant subcortical brain volumes.pdf</t>
        </is>
      </c>
      <c r="I30" s="2" t="n"/>
      <c r="J30" s="2" t="n"/>
      <c r="K30" s="4" t="n"/>
      <c r="L30" s="4" t="n"/>
    </row>
    <row r="31" ht="32" customHeight="1">
      <c r="A31" s="2" t="n">
        <v>30</v>
      </c>
      <c r="B31" s="2" t="n">
        <v>34</v>
      </c>
      <c r="C31" s="2" t="n">
        <v>2023</v>
      </c>
      <c r="D31" s="3" t="inlineStr">
        <is>
          <t>K</t>
        </is>
      </c>
      <c r="E31" s="4" t="inlineStr">
        <is>
          <t>Factors associated with MRI success in children cooled for neonatal encephalopathy and controls.</t>
        </is>
      </c>
      <c r="F31" s="3" t="inlineStr">
        <is>
          <t>Pediatric research</t>
        </is>
      </c>
      <c r="G31" s="3" t="inlineStr">
        <is>
          <t>10.1038/s41390-022-02180-y</t>
        </is>
      </c>
      <c r="H31" s="3" t="inlineStr">
        <is>
          <t>Woodward 等 - 2023 - Factors associated with MRI success in children cooled for neonatal encephalopathy and controls.pdf</t>
        </is>
      </c>
      <c r="I31" s="2" t="n"/>
      <c r="J31" s="2" t="n"/>
      <c r="K31" s="4" t="n"/>
      <c r="L31" s="4" t="n"/>
    </row>
    <row r="32" ht="32" customHeight="1">
      <c r="A32" s="2" t="n">
        <v>31</v>
      </c>
      <c r="B32" s="2" t="n">
        <v>35</v>
      </c>
      <c r="C32" s="2" t="n">
        <v>2024</v>
      </c>
      <c r="D32" s="3" t="inlineStr">
        <is>
          <t>TK</t>
        </is>
      </c>
      <c r="E32" s="4" t="inlineStr">
        <is>
          <t>Brain morphometry and chronic inflammation in Bangladeshi children growing up in extreme poverty.</t>
        </is>
      </c>
      <c r="F32" s="3" t="inlineStr">
        <is>
          <t>Imaging neuroscience (Cambridge, Mass.)</t>
        </is>
      </c>
      <c r="G32" s="3" t="inlineStr">
        <is>
          <t>10.1162/imag_a_00319</t>
        </is>
      </c>
      <c r="H32" s="3" t="inlineStr">
        <is>
          <t>Turesky 等 - 2024 - Brain morphometry and chronic inflammation in bangladeshi children growing up in extreme poverty.pdf</t>
        </is>
      </c>
      <c r="I32" s="2" t="n"/>
      <c r="J32" s="2" t="n"/>
      <c r="K32" s="4" t="n"/>
      <c r="L32" s="4" t="n"/>
    </row>
    <row r="33" ht="32" customHeight="1">
      <c r="A33" s="2" t="n">
        <v>32</v>
      </c>
      <c r="B33" s="2" t="n">
        <v>38</v>
      </c>
      <c r="C33" s="2" t="n">
        <v>2021</v>
      </c>
      <c r="D33" s="3" t="inlineStr">
        <is>
          <t>MJ</t>
        </is>
      </c>
      <c r="E33" s="4" t="inlineStr">
        <is>
          <t>Randomized Manipulation of Early Cognitive Experience Impacts Adult Brain Structure.</t>
        </is>
      </c>
      <c r="F33" s="3" t="inlineStr">
        <is>
          <t>Journal of cognitive neuroscience</t>
        </is>
      </c>
      <c r="G33" s="3" t="inlineStr">
        <is>
          <t>10.1162/jocn_a_01709</t>
        </is>
      </c>
      <c r="H33" s="3" t="inlineStr">
        <is>
          <t>Farah 等 - 2021 - Randomized manipulation of early cognitive experience impacts adult brain structure.pdf</t>
        </is>
      </c>
      <c r="I33" s="2" t="n"/>
      <c r="J33" s="2" t="n"/>
      <c r="K33" s="4" t="n"/>
      <c r="L33" s="4" t="n"/>
    </row>
    <row r="34" ht="32" customHeight="1">
      <c r="A34" s="2" t="n">
        <v>33</v>
      </c>
      <c r="B34" s="2" t="n">
        <v>39</v>
      </c>
      <c r="C34" s="2" t="n">
        <v>2024</v>
      </c>
      <c r="D34" s="3" t="inlineStr">
        <is>
          <t>L</t>
        </is>
      </c>
      <c r="E34" s="4" t="inlineStr">
        <is>
          <t>The importance of timing of socioeconomic disadvantage throughout development for depressive symptoms and brain structure.</t>
        </is>
      </c>
      <c r="F34" s="3" t="inlineStr">
        <is>
          <t>Developmental cognitive neuroscience</t>
        </is>
      </c>
      <c r="G34" s="3" t="inlineStr">
        <is>
          <t>10.1016/j.dcn.2024.101449</t>
        </is>
      </c>
      <c r="H34" s="3" t="inlineStr">
        <is>
          <t>Ferschmann 等 - 2024 - The importance of timing of socioeconomic disadvantage throughout development for depressive symptom.pdf</t>
        </is>
      </c>
      <c r="I34" s="2" t="n"/>
      <c r="J34" s="2" t="n"/>
      <c r="K34" s="4" t="n"/>
      <c r="L34" s="4" t="n"/>
    </row>
    <row r="35" ht="32" customHeight="1">
      <c r="A35" s="2" t="n">
        <v>34</v>
      </c>
      <c r="B35" s="2" t="n">
        <v>41</v>
      </c>
      <c r="C35" s="2" t="n">
        <v>2023</v>
      </c>
      <c r="D35" s="3" t="inlineStr">
        <is>
          <t>MP</t>
        </is>
      </c>
      <c r="E35" s="4" t="inlineStr">
        <is>
          <t>The Association Between Maternal Cortisol and Infant Amygdala Volume Is Moderated by Socioeconomic Status.</t>
        </is>
      </c>
      <c r="F35" s="3" t="inlineStr">
        <is>
          <t>Biological psychiatry global open science</t>
        </is>
      </c>
      <c r="G35" s="3" t="inlineStr">
        <is>
          <t>10.1016/j.bpsgos.2023.03.002</t>
        </is>
      </c>
      <c r="H35" s="3" t="inlineStr">
        <is>
          <t>2023_The Association BetweenMaternal Cortisol and InfantAmygdala Volume.pdf</t>
        </is>
      </c>
      <c r="I35" s="2" t="n"/>
      <c r="J35" s="2" t="n"/>
      <c r="K35" s="4" t="n"/>
      <c r="L35" s="4" t="n"/>
    </row>
    <row r="36" ht="32" customHeight="1">
      <c r="A36" s="2" t="n">
        <v>35</v>
      </c>
      <c r="B36" s="2" t="n">
        <v>42</v>
      </c>
      <c r="C36" s="2" t="n">
        <v>2019</v>
      </c>
      <c r="D36" s="3" t="inlineStr">
        <is>
          <t>AM</t>
        </is>
      </c>
      <c r="E36" s="4" t="inlineStr">
        <is>
          <t>Socioeconomic status and neural processing of a go/no-go task in preschoolers: An assessment of the P3b.</t>
        </is>
      </c>
      <c r="F36" s="3" t="inlineStr">
        <is>
          <t>Developmental cognitive neuroscience</t>
        </is>
      </c>
      <c r="G36" s="3" t="inlineStr">
        <is>
          <t>10.1016/j.dcn.2019.100677</t>
        </is>
      </c>
      <c r="H36" s="3" t="inlineStr">
        <is>
          <t>St. John 等 - 2019 - Socioeconomic status and neural processing of a gono-go task in preschoolers An assessment of the.pdf</t>
        </is>
      </c>
      <c r="I36" s="2" t="n"/>
      <c r="J36" s="2" t="n"/>
      <c r="K36" s="4" t="n"/>
      <c r="L36" s="4" t="n"/>
    </row>
    <row r="37" ht="32" customHeight="1">
      <c r="A37" s="2" t="n">
        <v>36</v>
      </c>
      <c r="B37" s="2" t="n">
        <v>43</v>
      </c>
      <c r="C37" s="2" t="n">
        <v>2020</v>
      </c>
      <c r="D37" s="3" t="inlineStr">
        <is>
          <t>AJ</t>
        </is>
      </c>
      <c r="E37" s="4" t="inlineStr">
        <is>
          <t>Prospective associations, longitudinal patterns of childhood socioeconomic status, and white matter organization in adulthood.</t>
        </is>
      </c>
      <c r="F37" s="3" t="inlineStr">
        <is>
          <t>Human brain mapping</t>
        </is>
      </c>
      <c r="G37" s="3" t="inlineStr">
        <is>
          <t>10.1002/hbm.25031</t>
        </is>
      </c>
      <c r="H37" s="3" t="inlineStr">
        <is>
          <t>Dufford 等 - 2020 - Prospective associations, longitudinal patterns of childhood socioeconomic status, and white matter.pdf</t>
        </is>
      </c>
      <c r="I37" s="2" t="n"/>
      <c r="J37" s="2" t="n"/>
      <c r="K37" s="4" t="n"/>
      <c r="L37" s="4" t="n"/>
    </row>
    <row r="38" ht="32" customHeight="1">
      <c r="A38" s="2" t="n">
        <v>37</v>
      </c>
      <c r="B38" s="2" t="n">
        <v>44</v>
      </c>
      <c r="C38" s="2" t="n">
        <v>2023</v>
      </c>
      <c r="D38" s="3" t="inlineStr">
        <is>
          <t>JA</t>
        </is>
      </c>
      <c r="E38" s="4" t="inlineStr">
        <is>
          <t>Maternal perinatal depression and child brain structure at 2-3 years in a South African birth cohort study.</t>
        </is>
      </c>
      <c r="F38" s="3" t="inlineStr">
        <is>
          <t>Translational psychiatry</t>
        </is>
      </c>
      <c r="G38" s="3" t="inlineStr">
        <is>
          <t>10.1038/s41398-023-02395-5</t>
        </is>
      </c>
      <c r="H38" s="3" t="inlineStr">
        <is>
          <t>Pellowski 等 - 2023 - Maternal perinatal depression and child brain structure at 2-3 years in a south african birth cohort.pdf</t>
        </is>
      </c>
      <c r="I38" s="2" t="n"/>
      <c r="J38" s="2" t="n"/>
      <c r="K38" s="4" t="n"/>
      <c r="L38" s="4" t="n"/>
    </row>
    <row r="39" ht="32" customHeight="1">
      <c r="A39" s="2" t="n">
        <v>38</v>
      </c>
      <c r="B39" s="2" t="n">
        <v>45</v>
      </c>
      <c r="C39" s="2" t="n">
        <v>2013</v>
      </c>
      <c r="D39" s="3" t="inlineStr">
        <is>
          <t>P</t>
        </is>
      </c>
      <c r="E39" s="4" t="inlineStr">
        <is>
          <t>Socioeconomic status and functional brain development - associations in early infancy.</t>
        </is>
      </c>
      <c r="F39" s="3" t="inlineStr">
        <is>
          <t>Developmental science</t>
        </is>
      </c>
      <c r="G39" s="3" t="inlineStr">
        <is>
          <t>https://doi.org/10.1111/desc.12079</t>
        </is>
      </c>
      <c r="H39" s="3" t="inlineStr">
        <is>
          <t>Tomalski 等 - 2013 - Socioeconomic status and functional brain development – associations in early infancy.pdf</t>
        </is>
      </c>
      <c r="I39" s="2" t="n"/>
      <c r="J39" s="2" t="n"/>
      <c r="K39" s="4" t="n"/>
      <c r="L39" s="4" t="n"/>
    </row>
    <row r="40" ht="32" customHeight="1">
      <c r="A40" s="2" t="n">
        <v>39</v>
      </c>
      <c r="B40" s="2" t="n">
        <v>46</v>
      </c>
      <c r="C40" s="2" t="n">
        <v>2017</v>
      </c>
      <c r="D40" s="3" t="inlineStr">
        <is>
          <t>JS</t>
        </is>
      </c>
      <c r="E40" s="4" t="inlineStr">
        <is>
          <t>Shared Reading Quality and Brain Activation during Story Listening in Preschool-Age Children.</t>
        </is>
      </c>
      <c r="F40" s="3" t="inlineStr">
        <is>
          <t>The Journal of pediatrics</t>
        </is>
      </c>
      <c r="G40" s="3" t="inlineStr">
        <is>
          <t>10.1016/j.jpeds.2017.08.037</t>
        </is>
      </c>
      <c r="H40" s="3" t="inlineStr">
        <is>
          <t>Hutton 等 - 2017 - Shared reading quality and brain activation during story listening in preschool-age children.pdf</t>
        </is>
      </c>
      <c r="I40" s="2" t="n"/>
      <c r="J40" s="2" t="n"/>
      <c r="K40" s="4" t="n"/>
      <c r="L40" s="4" t="n"/>
    </row>
    <row r="41" ht="32" customHeight="1">
      <c r="A41" s="2" t="n">
        <v>40</v>
      </c>
      <c r="B41" s="2" t="n">
        <v>47</v>
      </c>
      <c r="C41" s="2" t="n">
        <v>2015</v>
      </c>
      <c r="D41" s="3" t="inlineStr">
        <is>
          <t>W</t>
        </is>
      </c>
      <c r="E41" s="4" t="inlineStr">
        <is>
          <t>Functional Network Development During the First Year: Relative Sequence and Socioeconomic Correlations.</t>
        </is>
      </c>
      <c r="F41" s="3" t="inlineStr">
        <is>
          <t>Cerebral cortex (New York, N.Y. : 1991)</t>
        </is>
      </c>
      <c r="G41" s="3" t="inlineStr">
        <is>
          <t>10.1093/cercor/bhu088</t>
        </is>
      </c>
      <c r="H41" s="3" t="inlineStr">
        <is>
          <t>Gao 等 - 2015 - Functional network development during the first year Relative sequence and socioeconomic correlatio.pdf</t>
        </is>
      </c>
      <c r="I41" s="2" t="n"/>
      <c r="J41" s="2" t="n"/>
      <c r="K41" s="4" t="n"/>
      <c r="L41" s="4" t="n"/>
    </row>
    <row r="42" ht="32" customHeight="1">
      <c r="A42" s="2" t="n">
        <v>41</v>
      </c>
      <c r="B42" s="2" t="n">
        <v>48</v>
      </c>
      <c r="C42" s="2" t="n">
        <v>2022</v>
      </c>
      <c r="D42" s="3" t="inlineStr">
        <is>
          <t>RE</t>
        </is>
      </c>
      <c r="E42" s="4" t="inlineStr">
        <is>
          <t>Prenatal exposure to maternal social disadvantage and psychosocial stress and neonatal white matter connectivity at birth.</t>
        </is>
      </c>
      <c r="F42" s="3" t="inlineStr">
        <is>
          <t>Proceedings of the National Academy of Sciences of the United States of America</t>
        </is>
      </c>
      <c r="G42" s="3" t="inlineStr">
        <is>
          <t>10.1073/pnas.2204135119</t>
        </is>
      </c>
      <c r="H42" s="3" t="inlineStr">
        <is>
          <t>Lean 等 - 2022 - Prenatal exposure to maternal social disadvantage and psychosocial stress and neonatal white matter.pdf</t>
        </is>
      </c>
      <c r="I42" s="2" t="n"/>
      <c r="J42" s="2" t="n"/>
      <c r="K42" s="4" t="n"/>
      <c r="L42" s="4" t="n"/>
    </row>
    <row r="43" ht="32" customHeight="1">
      <c r="A43" s="2" t="n">
        <v>42</v>
      </c>
      <c r="B43" s="2" t="n">
        <v>49</v>
      </c>
      <c r="C43" s="2" t="n">
        <v>2024</v>
      </c>
      <c r="D43" s="3" t="inlineStr">
        <is>
          <t>MP</t>
        </is>
      </c>
      <c r="E43" s="4" t="inlineStr">
        <is>
          <t>Maternal prenatal social disadvantage and neonatal functional connectivity: Associations with psychopathology symptoms at age 12 months.</t>
        </is>
      </c>
      <c r="F43" s="3" t="inlineStr">
        <is>
          <t>Developmental psychology</t>
        </is>
      </c>
      <c r="G43" s="3" t="inlineStr">
        <is>
          <t>10.1037/dev0001708</t>
        </is>
      </c>
      <c r="H43" s="3" t="inlineStr">
        <is>
          <t>Lean 等 - 2022 - Prenatal exposure to maternal social disadvantage and psychosocial stress and neonatal white matter.pdf</t>
        </is>
      </c>
      <c r="I43" s="2" t="n"/>
      <c r="J43" s="2" t="n"/>
      <c r="K43" s="4" t="n"/>
      <c r="L43" s="4" t="n"/>
    </row>
    <row r="44" ht="32" customHeight="1">
      <c r="A44" s="2" t="n">
        <v>43</v>
      </c>
      <c r="B44" s="2" t="n">
        <v>50</v>
      </c>
      <c r="C44" s="2" t="n">
        <v>2019</v>
      </c>
      <c r="D44" s="3" t="inlineStr">
        <is>
          <t>O</t>
        </is>
      </c>
      <c r="E44" s="4" t="inlineStr">
        <is>
          <t>The relationship between socioeconomic status and white matter microstructure in pre-reading children: A longitudinal investigation.</t>
        </is>
      </c>
      <c r="F44" s="3" t="inlineStr">
        <is>
          <t>Human brain mapping</t>
        </is>
      </c>
      <c r="G44" s="3" t="inlineStr">
        <is>
          <t>10.1002/hbm.24407</t>
        </is>
      </c>
      <c r="H44" s="3" t="inlineStr">
        <is>
          <t>Ozernov-Palchik 等 - 2019 - The relationship between socioeconomic status and white matter microstructure in pre-reading childre.pdf</t>
        </is>
      </c>
      <c r="I44" s="2" t="n"/>
      <c r="J44" s="2" t="n"/>
      <c r="K44" s="4" t="n"/>
      <c r="L44" s="4" t="n"/>
    </row>
    <row r="45" ht="32" customHeight="1">
      <c r="A45" s="2" t="n">
        <v>44</v>
      </c>
      <c r="B45" s="2" t="n">
        <v>51</v>
      </c>
      <c r="C45" s="2" t="n">
        <v>2013</v>
      </c>
      <c r="D45" s="3" t="inlineStr">
        <is>
          <t>JL</t>
        </is>
      </c>
      <c r="E45" s="4" t="inlineStr">
        <is>
          <t>Family poverty affects the rate of human infant brain growth.</t>
        </is>
      </c>
      <c r="F45" s="3" t="inlineStr">
        <is>
          <t>PloS one</t>
        </is>
      </c>
      <c r="G45" s="3" t="inlineStr">
        <is>
          <t>10.1371/journal.pone.0080954</t>
        </is>
      </c>
      <c r="H45" s="3" t="inlineStr">
        <is>
          <t>Hanson 等 - 2013 - Family poverty affects the rate of human infant brain growth.pdf</t>
        </is>
      </c>
      <c r="I45" s="2" t="n"/>
      <c r="J45" s="2" t="n"/>
      <c r="K45" s="4" t="n"/>
      <c r="L45" s="4" t="n"/>
    </row>
    <row r="46" ht="32" customHeight="1">
      <c r="A46" s="2" t="n">
        <v>45</v>
      </c>
      <c r="B46" s="2" t="n">
        <v>52</v>
      </c>
      <c r="C46" s="2" t="n">
        <v>2024</v>
      </c>
      <c r="D46" s="3" t="inlineStr">
        <is>
          <t>A</t>
        </is>
      </c>
      <c r="E46" s="4" t="inlineStr">
        <is>
          <t>Prenatal family income, but not parental education, is associated with resting brain activity in 1-month-old infants.</t>
        </is>
      </c>
      <c r="F46" s="3" t="inlineStr">
        <is>
          <t>Scientific reports</t>
        </is>
      </c>
      <c r="G46" s="3" t="inlineStr">
        <is>
          <t>10.1038/s41598-024-64498-3</t>
        </is>
      </c>
      <c r="H46" s="3" t="inlineStr">
        <is>
          <t>Sandre 等 - 2024 - Prenatal family income, but not parental education, is associated with resting brain activity in 1-m.pdf</t>
        </is>
      </c>
      <c r="I46" s="2" t="n"/>
      <c r="J46" s="2" t="n"/>
      <c r="K46" s="4" t="n"/>
      <c r="L46" s="4" t="n"/>
    </row>
    <row r="47" ht="32" customHeight="1">
      <c r="A47" s="2" t="n">
        <v>46</v>
      </c>
      <c r="B47" s="2" t="n">
        <v>53</v>
      </c>
      <c r="C47" s="2" t="n">
        <v>2021</v>
      </c>
      <c r="D47" s="3" t="inlineStr">
        <is>
          <t>M</t>
        </is>
      </c>
      <c r="E47" s="4" t="inlineStr">
        <is>
          <t>Effects of socioeconomic status in predicting reading outcomes for children: The mediation of spoken language network.</t>
        </is>
      </c>
      <c r="F47" s="3" t="inlineStr">
        <is>
          <t>Brain and cognition</t>
        </is>
      </c>
      <c r="G47" s="3" t="inlineStr">
        <is>
          <t>10.1016/j.bandc.2020.105655</t>
        </is>
      </c>
      <c r="H47" s="3" t="inlineStr">
        <is>
          <t>Su 等 - 2021 - Effects of socioeconomic status in predicting reading outcomes for children The mediation of spoken.pdf</t>
        </is>
      </c>
      <c r="I47" s="2" t="n"/>
      <c r="J47" s="2" t="n"/>
      <c r="K47" s="4" t="n"/>
      <c r="L47" s="4" t="n"/>
    </row>
    <row r="48" ht="32" customHeight="1">
      <c r="A48" s="2" t="n">
        <v>47</v>
      </c>
      <c r="B48" s="2" t="n">
        <v>54</v>
      </c>
      <c r="C48" s="2" t="n">
        <v>2019</v>
      </c>
      <c r="D48" s="3" t="inlineStr">
        <is>
          <t>C</t>
        </is>
      </c>
      <c r="E48" s="4" t="inlineStr">
        <is>
          <t>Oscillatory gamma activity mediates the pathway from socioeconomic status to language acquisition in infancy.</t>
        </is>
      </c>
      <c r="F48" s="3" t="inlineStr">
        <is>
          <t>Infant behavior &amp; development</t>
        </is>
      </c>
      <c r="G48" s="3" t="inlineStr">
        <is>
          <t>10.1016/j.infbeh.2019.101384</t>
        </is>
      </c>
      <c r="H48" s="3" t="inlineStr">
        <is>
          <t>Cantiani 等 - 2019 - Oscillatory gamma activity mediates the pathway from socioeconomic status to language acquisition in.pdf</t>
        </is>
      </c>
      <c r="I48" s="2" t="n"/>
      <c r="J48" s="2" t="n"/>
      <c r="K48" s="4" t="n"/>
      <c r="L48" s="4" t="n"/>
    </row>
    <row r="49" ht="32" customHeight="1">
      <c r="A49" s="2" t="n">
        <v>48</v>
      </c>
      <c r="B49" s="2" t="n">
        <v>55</v>
      </c>
      <c r="C49" s="2" t="n">
        <v>2017</v>
      </c>
      <c r="D49" s="3" t="inlineStr">
        <is>
          <t>A</t>
        </is>
      </c>
      <c r="E49" s="4" t="inlineStr">
        <is>
          <t>Development of selective attention in preschool-age children from lower socioeconomic status backgrounds.</t>
        </is>
      </c>
      <c r="F49" s="3" t="inlineStr">
        <is>
          <t>Developmental cognitive neuroscience</t>
        </is>
      </c>
      <c r="G49" s="3" t="inlineStr">
        <is>
          <t>10.1016/j.dcn.2017.06.006</t>
        </is>
      </c>
      <c r="H49" s="3" t="inlineStr">
        <is>
          <t>Hampton Wray 等 - 2017 - Development of selective attention in preschool-age children from lower socioeconomic status backgro.pdf</t>
        </is>
      </c>
      <c r="I49" s="2" t="n"/>
      <c r="J49" s="2" t="n"/>
      <c r="K49" s="4" t="n"/>
      <c r="L49" s="4" t="n"/>
    </row>
    <row r="50" ht="32" customHeight="1">
      <c r="A50" s="2" t="n">
        <v>49</v>
      </c>
      <c r="B50" s="2" t="n">
        <v>56</v>
      </c>
      <c r="C50" s="2" t="n">
        <v>2016</v>
      </c>
      <c r="D50" s="3" t="inlineStr">
        <is>
          <t>JL</t>
        </is>
      </c>
      <c r="E50" s="4" t="inlineStr">
        <is>
          <t>Breastfeeding and Childhood IQ: The Mediating Role of Gray Matter Volume.</t>
        </is>
      </c>
      <c r="F50" s="3" t="inlineStr">
        <is>
          <t>Journal of the American Academy of Child and Adolescent Psychiatry</t>
        </is>
      </c>
      <c r="G50" s="3" t="inlineStr">
        <is>
          <t>10.1016/j.jaac.2016.02.009</t>
        </is>
      </c>
      <c r="H50" s="3" t="inlineStr">
        <is>
          <t>Luby 等 - 2016 - Breastfeeding and childhood IQ the mediating role of gray matter volume.pdf</t>
        </is>
      </c>
      <c r="I50" s="2" t="n"/>
      <c r="J50" s="2" t="n"/>
      <c r="K50" s="4" t="n"/>
      <c r="L50" s="4" t="n"/>
    </row>
    <row r="51" ht="32" customHeight="1">
      <c r="A51" s="2" t="n">
        <v>50</v>
      </c>
      <c r="B51" s="2" t="n">
        <v>58</v>
      </c>
      <c r="C51" s="2" t="n">
        <v>2015</v>
      </c>
      <c r="D51" s="3" t="inlineStr">
        <is>
          <t>JS</t>
        </is>
      </c>
      <c r="E51" s="4" t="inlineStr">
        <is>
          <t>Home Reading Environment and Brain Activation in Preschool Children Listening to Stories.</t>
        </is>
      </c>
      <c r="F51" s="3" t="inlineStr">
        <is>
          <t>Pediatrics</t>
        </is>
      </c>
      <c r="G51" s="3" t="inlineStr">
        <is>
          <t>10.1542/peds.2015-0359</t>
        </is>
      </c>
      <c r="H51" s="3" t="inlineStr">
        <is>
          <t>Hutton 等 - 2015 - Home reading environment and brain activation in preschool children listening to stories.pdf</t>
        </is>
      </c>
      <c r="I51" s="2" t="n"/>
      <c r="J51" s="2" t="n"/>
      <c r="K51" s="4" t="n"/>
      <c r="L51" s="4" t="n"/>
    </row>
    <row r="52" ht="32" customHeight="1">
      <c r="A52" s="2" t="n">
        <v>51</v>
      </c>
      <c r="B52" s="2" t="n">
        <v>59</v>
      </c>
      <c r="C52" s="2" t="n">
        <v>2017</v>
      </c>
      <c r="D52" s="3" t="inlineStr">
        <is>
          <t>P</t>
        </is>
      </c>
      <c r="E52" s="4" t="inlineStr">
        <is>
          <t>Socioeconomic disadvantage, neural responses to infant emotions, and emotional availability among first-time new mothers.</t>
        </is>
      </c>
      <c r="F52" s="3" t="inlineStr">
        <is>
          <t>Behavioural brain research</t>
        </is>
      </c>
      <c r="G52" s="3" t="inlineStr">
        <is>
          <t>10.1016/j.bbr.2017.02.001</t>
        </is>
      </c>
      <c r="H52" s="3" t="inlineStr">
        <is>
          <t>Kim 等 - 2017 - Socioeconomic disadvantage, neural responses to infant emotions, and emotional availability among fi.pdf</t>
        </is>
      </c>
      <c r="I52" s="2" t="n"/>
      <c r="J52" s="2" t="n"/>
      <c r="K52" s="4" t="n"/>
      <c r="L52" s="4" t="n"/>
    </row>
    <row r="53" ht="32" customHeight="1">
      <c r="A53" s="2" t="n">
        <v>52</v>
      </c>
      <c r="B53" s="2" t="n">
        <v>60</v>
      </c>
      <c r="C53" s="2" t="n">
        <v>2021</v>
      </c>
      <c r="D53" s="3" t="inlineStr">
        <is>
          <t>SKG</t>
        </is>
      </c>
      <c r="E53" s="4" t="inlineStr">
        <is>
          <t>Associations of socioeconomic and other environmental factors with early brain development in Bangladeshi infants and children.</t>
        </is>
      </c>
      <c r="F53" s="3" t="inlineStr">
        <is>
          <t>Developmental cognitive neuroscience</t>
        </is>
      </c>
      <c r="G53" s="3" t="inlineStr">
        <is>
          <t>10.1016/j.dcn.2021.100981</t>
        </is>
      </c>
      <c r="H53" s="3" t="inlineStr">
        <is>
          <t>Jensen 等 - 2021 - Associations of socioeconomic and other environmental factors with early brain development in bangla.pdf</t>
        </is>
      </c>
      <c r="I53" s="2" t="n"/>
      <c r="J53" s="2" t="n"/>
      <c r="K53" s="4" t="n"/>
      <c r="L53" s="4" t="n"/>
    </row>
    <row r="54" ht="32" customHeight="1">
      <c r="A54" s="2" t="n">
        <v>53</v>
      </c>
      <c r="B54" s="2" t="n">
        <v>61</v>
      </c>
      <c r="C54" s="2" t="n">
        <v>2022</v>
      </c>
      <c r="D54" s="3" t="inlineStr">
        <is>
          <t>A</t>
        </is>
      </c>
      <c r="E54" s="4" t="inlineStr">
        <is>
          <t>Perioperative Course and Socioeconomic Status Predict Long-Term Neurodevelopment Better Than Perioperative Conventional Neuroimaging in Children with Congenital Heart Disease.</t>
        </is>
      </c>
      <c r="F54" s="3" t="inlineStr">
        <is>
          <t>The Journal of pediatrics</t>
        </is>
      </c>
      <c r="G54" s="3" t="inlineStr">
        <is>
          <t>10.1016/j.jpeds.2022.07.032</t>
        </is>
      </c>
      <c r="H54" s="3" t="inlineStr">
        <is>
          <t>Neukomm 等 - 2022 - Perioperative course and socioeconomic status predict long-term neurodevelopment better than periope.pdf</t>
        </is>
      </c>
      <c r="I54" s="2" t="n"/>
      <c r="J54" s="2" t="n"/>
      <c r="K54" s="4" t="n"/>
      <c r="L54" s="4" t="n"/>
    </row>
    <row r="55" ht="32" customHeight="1">
      <c r="A55" s="2" t="n">
        <v>54</v>
      </c>
      <c r="B55" s="2" t="n">
        <v>62</v>
      </c>
      <c r="C55" s="2" t="n">
        <v>2024</v>
      </c>
      <c r="D55" s="3" t="inlineStr">
        <is>
          <t>SR</t>
        </is>
      </c>
      <c r="E55" s="4" t="inlineStr">
        <is>
          <t>EEG background activity, seizure burden and early childhood outcomes in neonatal encephalopathy in Uganda: a prospective feasibility cohort study.</t>
        </is>
      </c>
      <c r="F55" s="3" t="inlineStr">
        <is>
          <t>EClinicalMedicine</t>
        </is>
      </c>
      <c r="G55" s="3" t="inlineStr">
        <is>
          <t>10.1016/j.eclinm.2024.102937</t>
        </is>
      </c>
      <c r="H55" s="3" t="inlineStr">
        <is>
          <t>Mathieson 等 - 2024 - EEG background activity, seizure burden and early childhood outcomes in neonatal encephalopathy in u.pdf</t>
        </is>
      </c>
      <c r="I55" s="2" t="n"/>
      <c r="J55" s="2" t="n"/>
      <c r="K55" s="4" t="n"/>
      <c r="L55" s="4" t="n"/>
    </row>
    <row r="56" ht="32" customHeight="1">
      <c r="A56" s="2" t="n">
        <v>55</v>
      </c>
      <c r="B56" s="2" t="n">
        <v>63</v>
      </c>
      <c r="C56" s="2" t="n">
        <v>2009</v>
      </c>
      <c r="D56" s="3" t="inlineStr">
        <is>
          <t>SJ</t>
        </is>
      </c>
      <c r="E56" s="4" t="inlineStr">
        <is>
          <t>Functional MRI and response inhibition in children exposed to cocaine in utero. Preliminary findings.</t>
        </is>
      </c>
      <c r="F56" s="3" t="inlineStr">
        <is>
          <t>Developmental neuroscience</t>
        </is>
      </c>
      <c r="G56" s="3" t="inlineStr">
        <is>
          <t>10.1159/000207503</t>
        </is>
      </c>
      <c r="H56" s="3" t="inlineStr">
        <is>
          <t>Sheinkopf 等 - 2009 - Functional MRI and response inhibition in children exposed to cocaine in utero.pdf</t>
        </is>
      </c>
      <c r="I56" s="2" t="n"/>
      <c r="J56" s="2" t="n"/>
      <c r="K56" s="4" t="n"/>
      <c r="L56" s="4" t="n"/>
    </row>
    <row r="57" ht="32" customHeight="1">
      <c r="A57" s="2" t="n">
        <v>56</v>
      </c>
      <c r="B57" s="2" t="n">
        <v>64</v>
      </c>
      <c r="C57" s="2" t="n">
        <v>2021</v>
      </c>
      <c r="D57" s="3" t="inlineStr">
        <is>
          <t>LJ</t>
        </is>
      </c>
      <c r="E57" s="4" t="inlineStr">
        <is>
          <t>Associations Between Maternal Stress, Early Language Behaviors, and Infant Electroencephalography During the First Year of Life.</t>
        </is>
      </c>
      <c r="F57" s="3" t="inlineStr">
        <is>
          <t>Journal of child language</t>
        </is>
      </c>
      <c r="G57" s="3" t="inlineStr">
        <is>
          <t>10.1017/S0305000920000501</t>
        </is>
      </c>
      <c r="H57" s="3" t="inlineStr">
        <is>
          <t>Pierce 等 - 2021 - Associations between maternal stress, early language behaviors, and infant electroencephalography du.pdf</t>
        </is>
      </c>
      <c r="I57" s="2" t="n"/>
      <c r="J57" s="2" t="n"/>
      <c r="K57" s="4" t="n"/>
      <c r="L57" s="4" t="n"/>
    </row>
    <row r="58" ht="32" customHeight="1">
      <c r="A58" s="2" t="n">
        <v>57</v>
      </c>
      <c r="B58" s="2" t="n">
        <v>65</v>
      </c>
      <c r="C58" s="2" t="n">
        <v>2014</v>
      </c>
      <c r="D58" s="3" t="inlineStr">
        <is>
          <t>S</t>
        </is>
      </c>
      <c r="E58" s="4" t="inlineStr">
        <is>
          <t>Functional near infrared spectroscopy (fNIRS) to assess cognitive function in infants in rural Africa.</t>
        </is>
      </c>
      <c r="F58" s="3" t="inlineStr">
        <is>
          <t>Scientific reports</t>
        </is>
      </c>
      <c r="G58" s="3" t="inlineStr">
        <is>
          <t>10.1038/srep04740</t>
        </is>
      </c>
      <c r="H58" s="3" t="inlineStr">
        <is>
          <t>Lloyd-Fox 等 - 2014 - Functional near infrared spectroscopy (fNIRS) to assess cognitive function in infants in rural afric.pdf</t>
        </is>
      </c>
      <c r="I58" s="2" t="n"/>
      <c r="J58" s="2" t="n"/>
      <c r="K58" s="4" t="n"/>
      <c r="L58" s="4" t="n"/>
    </row>
    <row r="59" ht="32" customHeight="1">
      <c r="A59" s="2" t="n">
        <v>58</v>
      </c>
      <c r="B59" s="2" t="n">
        <v>66</v>
      </c>
      <c r="C59" s="2" t="n">
        <v>2019</v>
      </c>
      <c r="D59" s="3" t="inlineStr">
        <is>
          <t>S</t>
        </is>
      </c>
      <c r="E59" s="4" t="inlineStr">
        <is>
          <t>Habituation and novelty detection fNIRS brain responses in 5- and 8-month-old infants: The Gambia and UK.</t>
        </is>
      </c>
      <c r="F59" s="3" t="inlineStr">
        <is>
          <t>Developmental science</t>
        </is>
      </c>
      <c r="G59" s="3" t="inlineStr">
        <is>
          <t>10.1111/desc.12817</t>
        </is>
      </c>
      <c r="H59" s="3" t="inlineStr">
        <is>
          <t>Lloyd-Fox 等 - 2019 - Habituation and novelty detection fNIRS brain responses in 5- and 8-month-old infants the Gambia an.pdf</t>
        </is>
      </c>
      <c r="I59" s="2" t="n"/>
      <c r="J59" s="2" t="n"/>
      <c r="K59" s="4" t="n"/>
      <c r="L59" s="4" t="n"/>
    </row>
    <row r="60" ht="32" customHeight="1">
      <c r="A60" s="2" t="n">
        <v>59</v>
      </c>
      <c r="B60" s="2" t="n">
        <v>67</v>
      </c>
      <c r="C60" s="2" t="n">
        <v>2020</v>
      </c>
      <c r="D60" s="3" t="inlineStr">
        <is>
          <t>T</t>
        </is>
      </c>
      <c r="E60" s="4" t="inlineStr">
        <is>
          <t>Relating anthropometric indicators to brain structure in 2-month-old Bangladeshi infants growing up in poverty: A pilot study.</t>
        </is>
      </c>
      <c r="F60" s="3" t="inlineStr">
        <is>
          <t>NeuroImage</t>
        </is>
      </c>
      <c r="G60" s="3" t="inlineStr">
        <is>
          <t>10.1016/j.neuroimage.2020.116540</t>
        </is>
      </c>
      <c r="H60" s="3" t="inlineStr">
        <is>
          <t>Turesky 等 - 2020 - Relating anthropometric indicators to brain structure in 2-month-old bangladeshi infants growing up.pdf</t>
        </is>
      </c>
      <c r="I60" s="2" t="n"/>
      <c r="J60" s="2" t="n"/>
      <c r="K60" s="4" t="n"/>
      <c r="L60" s="4" t="n"/>
    </row>
    <row r="61" ht="32" customHeight="1">
      <c r="A61" s="2" t="n">
        <v>60</v>
      </c>
      <c r="B61" s="2" t="n">
        <v>68</v>
      </c>
      <c r="C61" s="2" t="n">
        <v>2022</v>
      </c>
      <c r="D61" s="3" t="inlineStr">
        <is>
          <t>JR</t>
        </is>
      </c>
      <c r="E61" s="4" t="inlineStr">
        <is>
          <t>Examining the Role of Socioeconomic Status and Maternal Sensitivity in Predicting Functional Brain Network Connectivity in 5-Month-Old Infants.</t>
        </is>
      </c>
      <c r="F61" s="3" t="inlineStr">
        <is>
          <t>Frontiers in neuroscience</t>
        </is>
      </c>
      <c r="G61" s="3" t="inlineStr">
        <is>
          <t>10.3389/fnins.2022.892482</t>
        </is>
      </c>
      <c r="H61" s="3" t="inlineStr">
        <is>
          <t>Chajes 等 - 2022 - Examining the role of socioeconomic status and maternal sensitivity in predicting functional brain n.pdf</t>
        </is>
      </c>
      <c r="I61" s="2" t="n"/>
      <c r="J61" s="2" t="n"/>
      <c r="K61" s="4" t="n"/>
      <c r="L61" s="4" t="n"/>
    </row>
    <row r="62" ht="32" customHeight="1">
      <c r="A62" s="2" t="n">
        <v>61</v>
      </c>
      <c r="B62" s="2" t="n">
        <v>69</v>
      </c>
      <c r="C62" s="2" t="n">
        <v>2022</v>
      </c>
      <c r="D62" s="3" t="inlineStr">
        <is>
          <t>DM</t>
        </is>
      </c>
      <c r="E62" s="4" t="inlineStr">
        <is>
          <t>Early Childhood Socioeconomic Status and Cognitive and Adaptive Outcomes at the Transition to Adulthood: The Mediating Role of Gray Matter Development Across Five Scan Waves.</t>
        </is>
      </c>
      <c r="F62" s="3" t="inlineStr">
        <is>
          <t>Biological psychiatry. Cognitive neuroscience and neuroimaging</t>
        </is>
      </c>
      <c r="G62" s="3" t="inlineStr">
        <is>
          <t>10.1016/j.bpsc.2021.07.002</t>
        </is>
      </c>
      <c r="H62" s="3" t="inlineStr">
        <is>
          <t>Barch 等 - 2022 - Early childhood socioeconomic status and cognitive and adaptive outcomes at the transition to adulth.pdf</t>
        </is>
      </c>
      <c r="I62" s="2" t="n"/>
      <c r="J62" s="2" t="n"/>
      <c r="K62" s="4" t="n"/>
      <c r="L62" s="4" t="n"/>
    </row>
    <row r="63" ht="32" customHeight="1">
      <c r="A63" s="2" t="n">
        <v>62</v>
      </c>
      <c r="B63" s="2" t="n">
        <v>70</v>
      </c>
      <c r="C63" s="2" t="n">
        <v>2019</v>
      </c>
      <c r="D63" s="3" t="inlineStr">
        <is>
          <t>KL</t>
        </is>
      </c>
      <c r="E63" s="4" t="inlineStr">
        <is>
          <t>Using functional near-infrared spectroscopy to assess social information processing in poor urban Bangladeshi infants and toddlers.</t>
        </is>
      </c>
      <c r="F63" s="3" t="inlineStr">
        <is>
          <t>Developmental science</t>
        </is>
      </c>
      <c r="G63" s="3" t="inlineStr">
        <is>
          <t>10.1111/desc.12839</t>
        </is>
      </c>
      <c r="H63" s="3" t="inlineStr">
        <is>
          <t>Perdue 等 - 2019 - Using functional near-infrared spectroscopy to assess social information processing in poor urban ba.pdf</t>
        </is>
      </c>
      <c r="I63" s="2" t="n"/>
      <c r="J63" s="2" t="n"/>
      <c r="K63" s="4" t="n"/>
      <c r="L63" s="4" t="n"/>
    </row>
    <row r="64" ht="32" customHeight="1">
      <c r="A64" s="2" t="n">
        <v>63</v>
      </c>
      <c r="B64" s="2" t="n">
        <v>71</v>
      </c>
      <c r="C64" s="2" t="n">
        <v>2025</v>
      </c>
      <c r="D64" s="3" t="inlineStr">
        <is>
          <t>A</t>
        </is>
      </c>
      <c r="E64" s="4" t="inlineStr">
        <is>
          <t>Age-related patterns of resting EEG power in infancy: Associations with prenatal socioeconomic disadvantage.</t>
        </is>
      </c>
      <c r="F64" s="3" t="inlineStr">
        <is>
          <t>Developmental cognitive neuroscience</t>
        </is>
      </c>
      <c r="G64" s="3" t="inlineStr">
        <is>
          <t>10.1016/j.dcn.2025.101611</t>
        </is>
      </c>
      <c r="H64" s="3" t="inlineStr">
        <is>
          <t>2025_Age-related patternsof restingEEG power in infancy.pdf</t>
        </is>
      </c>
      <c r="I64" s="2" t="n"/>
      <c r="J64" s="2" t="n"/>
      <c r="K64" s="4" t="n"/>
      <c r="L64" s="4" t="n"/>
    </row>
    <row r="65" ht="32" customHeight="1">
      <c r="A65" s="2" t="n">
        <v>64</v>
      </c>
      <c r="B65" s="2" t="n">
        <v>72</v>
      </c>
      <c r="C65" s="2" t="n">
        <v>2022</v>
      </c>
      <c r="D65" s="3" t="inlineStr">
        <is>
          <t>TK</t>
        </is>
      </c>
      <c r="E65" s="4" t="inlineStr">
        <is>
          <t>Home language and literacy environment and its relationship to socioeconomic status and white matter structure in infancy.</t>
        </is>
      </c>
      <c r="F65" s="3" t="inlineStr">
        <is>
          <t>Brain structure &amp; function</t>
        </is>
      </c>
      <c r="G65" s="3" t="inlineStr">
        <is>
          <t>10.1007/s00429-022-02560-4</t>
        </is>
      </c>
      <c r="H65" s="3" t="inlineStr">
        <is>
          <t>Turesky 等 - 2022 - Home language and literacy environment and its relationship to socioeconomic status and white matter.pdf</t>
        </is>
      </c>
      <c r="I65" s="2" t="n"/>
      <c r="J65" s="2" t="n"/>
      <c r="K65" s="4" t="n"/>
      <c r="L65" s="4" t="n"/>
    </row>
    <row r="66" ht="32" customHeight="1">
      <c r="A66" s="2" t="n">
        <v>65</v>
      </c>
      <c r="B66" s="2" t="n">
        <v>73</v>
      </c>
      <c r="C66" s="2" t="n">
        <v>2024</v>
      </c>
      <c r="D66" s="3" t="inlineStr">
        <is>
          <t>SM</t>
        </is>
      </c>
      <c r="E66" s="4" t="inlineStr">
        <is>
          <t>Longitudinal assessments of functional near-infrared spectroscopy background functional connectivity in low- and middle-income infants during a social cognition task.</t>
        </is>
      </c>
      <c r="F66" s="3" t="inlineStr">
        <is>
          <t>Journal of experimental psychology. General</t>
        </is>
      </c>
      <c r="G66" s="3" t="inlineStr">
        <is>
          <t>10.1037/xge0001531</t>
        </is>
      </c>
      <c r="H66" s="3" t="inlineStr">
        <is>
          <t>Di Lonardo Burr 等 - 2024 - Longitudinal assessments of functional near-infrared spectroscopy background functional connectivity.pdf</t>
        </is>
      </c>
      <c r="I66" s="2" t="n"/>
      <c r="J66" s="2" t="n"/>
      <c r="K66" s="4" t="n"/>
      <c r="L66" s="4" t="n"/>
    </row>
    <row r="67" ht="32" customHeight="1">
      <c r="A67" s="2" t="n">
        <v>66</v>
      </c>
      <c r="B67" s="2" t="n">
        <v>74</v>
      </c>
      <c r="C67" s="2" t="n">
        <v>2023</v>
      </c>
      <c r="D67" s="3" t="inlineStr">
        <is>
          <t>UA</t>
        </is>
      </c>
      <c r="E67" s="4" t="inlineStr">
        <is>
          <t>Prenatal environment is associated with the pace of cortical network development over the first three years of life.</t>
        </is>
      </c>
      <c r="F67" s="3" t="inlineStr">
        <is>
          <t>bioRxiv : the preprint server for biology</t>
        </is>
      </c>
      <c r="G67" s="3" t="inlineStr">
        <is>
          <t>10.1038/s41467-024-52242-4</t>
        </is>
      </c>
      <c r="H67" s="3" t="inlineStr">
        <is>
          <t>Tooley 等 - 2024 - Prenatal environment is associated with the pace of cortical network development over the first thre.pdf</t>
        </is>
      </c>
      <c r="I67" s="2" t="n"/>
      <c r="J67" s="2" t="n"/>
      <c r="K67" s="4" t="n"/>
      <c r="L67" s="4" t="n"/>
    </row>
    <row r="68" ht="32" customHeight="1">
      <c r="A68" s="2" t="n">
        <v>67</v>
      </c>
      <c r="B68" s="2" t="n">
        <v>75</v>
      </c>
      <c r="C68" s="2" t="n">
        <v>2020</v>
      </c>
      <c r="D68" s="3" t="inlineStr">
        <is>
          <t>MN</t>
        </is>
      </c>
      <c r="E68" s="4" t="inlineStr">
        <is>
          <t>Prenatal socioeconomic status and social support are associated with neonatal brain morphology, toddler language and psychiatric symptoms.</t>
        </is>
      </c>
      <c r="F68" s="3" t="inlineStr">
        <is>
          <t>Child neuropsychology : a journal on normal and abnormal development in childhood and adolescence</t>
        </is>
      </c>
      <c r="G68" s="3" t="inlineStr">
        <is>
          <t>10.1080/09297049.2019.1648641</t>
        </is>
      </c>
      <c r="H68" s="3" t="inlineStr">
        <is>
          <t>Spann 等 - 2020 - Prenatal socioeconomic status and social support are associated with neonatal brain morphology, todd.pdf</t>
        </is>
      </c>
      <c r="I68" s="2" t="n"/>
      <c r="J68" s="2" t="n"/>
      <c r="K68" s="4" t="n"/>
      <c r="L68" s="4" t="n"/>
    </row>
    <row r="69" ht="32" customHeight="1">
      <c r="A69" s="2" t="n">
        <v>68</v>
      </c>
      <c r="B69" s="2" t="n">
        <v>76</v>
      </c>
      <c r="C69" s="2" t="n">
        <v>2024</v>
      </c>
      <c r="D69" s="3" t="inlineStr">
        <is>
          <t>UA</t>
        </is>
      </c>
      <c r="E69" s="4" t="inlineStr">
        <is>
          <t>Prenatal environment is associated with the pace of cortical network development over the first three years of life.</t>
        </is>
      </c>
      <c r="F69" s="3" t="inlineStr">
        <is>
          <t>Nature communications</t>
        </is>
      </c>
      <c r="G69" s="3" t="inlineStr">
        <is>
          <t>10.1038/s41467-024-52242-4</t>
        </is>
      </c>
      <c r="H69" s="3" t="inlineStr">
        <is>
          <t>Tooley 等 - 2024 - Prenatal environment is associated with the pace of cortical network development over the first thre.pdf</t>
        </is>
      </c>
      <c r="I69" s="2" t="n"/>
      <c r="J69" s="2" t="n"/>
      <c r="K69" s="4" t="n"/>
      <c r="L69" s="4" t="n"/>
    </row>
    <row r="70" ht="32" customHeight="1">
      <c r="A70" s="2" t="n">
        <v>69</v>
      </c>
      <c r="B70" s="2" t="n">
        <v>77</v>
      </c>
      <c r="C70" s="2" t="n">
        <v>2016</v>
      </c>
      <c r="D70" s="3" t="inlineStr">
        <is>
          <t>LM</t>
        </is>
      </c>
      <c r="E70" s="4" t="inlineStr">
        <is>
          <t>Effect of socioeconomic status (SES) disparity on neural development in female African-American infants at age 1 month.</t>
        </is>
      </c>
      <c r="F70" s="3" t="inlineStr">
        <is>
          <t>Developmental science</t>
        </is>
      </c>
      <c r="G70" s="3" t="inlineStr">
        <is>
          <t>10.1111/desc.12344</t>
        </is>
      </c>
      <c r="H70" s="3" t="inlineStr">
        <is>
          <t>Betancourt 等 - 2016 - Effect of socioeconomic status ( SES ) disparity on ne.pdf</t>
        </is>
      </c>
      <c r="I70" s="2" t="n"/>
      <c r="J70" s="2" t="n"/>
      <c r="K70" s="4" t="n"/>
      <c r="L70" s="4" t="n"/>
    </row>
    <row r="71" ht="32" customHeight="1">
      <c r="A71" s="2" t="n">
        <v>70</v>
      </c>
      <c r="B71" s="2" t="n">
        <v>80</v>
      </c>
      <c r="C71" s="2" t="n">
        <v>2016</v>
      </c>
      <c r="D71" s="3" t="inlineStr">
        <is>
          <t>D</t>
        </is>
      </c>
      <c r="E71" s="4" t="inlineStr">
        <is>
          <t>Effect of Hippocampal and Amygdala Connectivity on the Relationship Between Preschool Poverty and School-Age Depression.</t>
        </is>
      </c>
      <c r="F71" s="3" t="inlineStr">
        <is>
          <t>The American journal of psychiatry</t>
        </is>
      </c>
      <c r="G71" s="3" t="inlineStr">
        <is>
          <t>10.1176/appi.ajp.2015.15081014</t>
        </is>
      </c>
      <c r="H71" s="3" t="inlineStr">
        <is>
          <t>Barch 等 - 2016 - Effect of hippocampal and amygdala connectivity on the relationship between preschool poverty and sc.pdf</t>
        </is>
      </c>
      <c r="I71" s="2" t="n"/>
      <c r="J71" s="2" t="n"/>
      <c r="K71" s="4" t="n"/>
      <c r="L71" s="4" t="n"/>
    </row>
    <row r="72" ht="32" customHeight="1">
      <c r="A72" s="2" t="n">
        <v>71</v>
      </c>
      <c r="B72" s="2" t="n">
        <v>81</v>
      </c>
      <c r="C72" s="2" t="n">
        <v>1997</v>
      </c>
      <c r="D72" s="3" t="inlineStr">
        <is>
          <t>GA</t>
        </is>
      </c>
      <c r="E72" s="4" t="inlineStr">
        <is>
          <t>Poverty, cultural disadvantage and brain development: a study of pre-school children in Mexico.</t>
        </is>
      </c>
      <c r="F72" s="3" t="inlineStr">
        <is>
          <t>Electroencephalography and clinical neurophysiology</t>
        </is>
      </c>
      <c r="G72" s="3" t="inlineStr">
        <is>
          <t>10.1016/s0013-4694(97)95213-9</t>
        </is>
      </c>
      <c r="H72" s="3" t="inlineStr">
        <is>
          <t>Otero - 1997 - Poverty, cultural disadvantage and brain development a study of pre-school children in Mexico.pdf</t>
        </is>
      </c>
      <c r="I72" s="2" t="n"/>
      <c r="J72" s="2" t="n"/>
      <c r="K72" s="4" t="n"/>
      <c r="L72" s="4" t="n"/>
    </row>
    <row r="73" ht="32" customHeight="1">
      <c r="A73" s="2" t="n">
        <v>72</v>
      </c>
      <c r="B73" s="2" t="n">
        <v>83</v>
      </c>
      <c r="C73" s="2" t="n">
        <v>2019</v>
      </c>
      <c r="D73" s="3" t="inlineStr">
        <is>
          <t>MJ</t>
        </is>
      </c>
      <c r="E73" s="4" t="inlineStr">
        <is>
          <t>Socioeconomic status related differences in resting state EEG activity correspond to differences in vocabulary and working memory in grade school.</t>
        </is>
      </c>
      <c r="F73" s="3" t="inlineStr">
        <is>
          <t>Brain and cognition</t>
        </is>
      </c>
      <c r="G73" s="3" t="inlineStr">
        <is>
          <t>10.1016/j.bandc.2019.103619</t>
        </is>
      </c>
      <c r="H73" s="3" t="inlineStr">
        <is>
          <t>Maguire和Schneider - 2019 - Socioeconomic status related differences in resting state EEG activity correspond to differences in.pdf</t>
        </is>
      </c>
      <c r="I73" s="2" t="n"/>
      <c r="J73" s="2" t="n"/>
      <c r="K73" s="4" t="n"/>
      <c r="L73" s="4" t="n"/>
    </row>
    <row r="74" ht="32" customHeight="1">
      <c r="A74" s="2" t="n">
        <v>73</v>
      </c>
      <c r="B74" s="2" t="n">
        <v>84</v>
      </c>
      <c r="C74" s="2" t="n">
        <v>2020</v>
      </c>
      <c r="D74" s="3" t="inlineStr">
        <is>
          <t>MR</t>
        </is>
      </c>
      <c r="E74" s="4" t="inlineStr">
        <is>
          <t>Positive Economic, Psychosocial, and Physiological Ecologies Predict Brain Structure and Cognitive Performance in 9-10-Year-Old Children.</t>
        </is>
      </c>
      <c r="F74" s="3" t="inlineStr">
        <is>
          <t>Frontiers in human neuroscience</t>
        </is>
      </c>
      <c r="G74" s="3" t="inlineStr">
        <is>
          <t>10.3389/fnhum.2020.578822</t>
        </is>
      </c>
      <c r="H74" s="3" t="inlineStr">
        <is>
          <t>Gonzalez 等 - 2020 - Positive economic, psychosocial, and physiological ecologies predict brain structure and cognitive p.pdf</t>
        </is>
      </c>
      <c r="I74" s="2" t="n"/>
      <c r="J74" s="2" t="n"/>
      <c r="K74" s="4" t="n"/>
      <c r="L74" s="4" t="n"/>
    </row>
    <row r="75" ht="32" customHeight="1">
      <c r="A75" s="2" t="n">
        <v>74</v>
      </c>
      <c r="B75" s="2" t="n">
        <v>85</v>
      </c>
      <c r="C75" s="2" t="n">
        <v>2024</v>
      </c>
      <c r="D75" s="3" t="inlineStr">
        <is>
          <t>LA</t>
        </is>
      </c>
      <c r="E75" s="4" t="inlineStr">
        <is>
          <t>Cognitive stimulation as a mechanism linking socioeconomic status and neural function supporting working memory: a longitudinal fMRI study.</t>
        </is>
      </c>
      <c r="F75" s="3" t="inlineStr">
        <is>
          <t>Cerebral cortex (New York, N.Y. : 1991)</t>
        </is>
      </c>
      <c r="G75" s="3" t="inlineStr">
        <is>
          <t>10.1093/cercor/bhad545</t>
        </is>
      </c>
      <c r="H75" s="3" t="inlineStr">
        <is>
          <t>Lurie 等 - 2024 - Cognitive stimulation as a mechanism linking socioeconomic status and neural function supporting wor.pdf</t>
        </is>
      </c>
      <c r="I75" s="2" t="n"/>
      <c r="J75" s="2" t="n"/>
      <c r="K75" s="4" t="n"/>
      <c r="L75" s="4" t="n"/>
    </row>
    <row r="76" ht="32" customHeight="1">
      <c r="A76" s="2" t="n">
        <v>75</v>
      </c>
      <c r="B76" s="2" t="n">
        <v>86</v>
      </c>
      <c r="C76" s="2" t="n">
        <v>2019</v>
      </c>
      <c r="D76" s="3" t="inlineStr">
        <is>
          <t>E</t>
        </is>
      </c>
      <c r="E76" s="4" t="inlineStr">
        <is>
          <t>Effects of Maternal Psychopathology and Education Level on Neurocognitive Development in Infants of Adolescent Mothers Living in Poverty in Brazil.</t>
        </is>
      </c>
      <c r="F76" s="3" t="inlineStr">
        <is>
          <t>Biological psychiatry. Cognitive neuroscience and neuroimaging</t>
        </is>
      </c>
      <c r="G76" s="3" t="inlineStr">
        <is>
          <t>10.1016/j.bpsc.2019.05.009</t>
        </is>
      </c>
      <c r="H76" s="3" t="inlineStr">
        <is>
          <t>Shephard 等 - 2019 - Effects of maternal psychopathology and education level on neurocognitive development in infants of.pdf</t>
        </is>
      </c>
      <c r="I76" s="2" t="n"/>
      <c r="J76" s="2" t="n"/>
      <c r="K76" s="4" t="n"/>
      <c r="L76" s="4" t="n"/>
    </row>
    <row r="77" ht="32" customHeight="1">
      <c r="A77" s="2" t="n">
        <v>76</v>
      </c>
      <c r="B77" s="2" t="n">
        <v>87</v>
      </c>
      <c r="C77" s="2" t="n">
        <v>2017</v>
      </c>
      <c r="D77" s="3" t="inlineStr">
        <is>
          <t>S</t>
        </is>
      </c>
      <c r="E77" s="4" t="inlineStr">
        <is>
          <t>Cortical specialisation to social stimuli from the first days to the second year of life: A rural Gambian cohort.</t>
        </is>
      </c>
      <c r="F77" s="3" t="inlineStr">
        <is>
          <t>Developmental cognitive neuroscience</t>
        </is>
      </c>
      <c r="G77" s="3" t="inlineStr">
        <is>
          <t>10.1016/j.dcn.2016.11.005</t>
        </is>
      </c>
      <c r="H77" s="3" t="inlineStr">
        <is>
          <t>Lloyd-Fox 等 - 2017 - Cortical specialisation to social stimuli from the first days to the second year of life A rural ga.pdf</t>
        </is>
      </c>
      <c r="I77" s="2" t="n"/>
      <c r="J77" s="2" t="n"/>
      <c r="K77" s="4" t="n"/>
      <c r="L77" s="4" t="n"/>
    </row>
    <row r="78" ht="32" customHeight="1">
      <c r="A78" s="2" t="n">
        <v>77</v>
      </c>
      <c r="B78" s="2" t="n">
        <v>88</v>
      </c>
      <c r="C78" s="2" t="n">
        <v>2013</v>
      </c>
      <c r="D78" s="3" t="inlineStr">
        <is>
          <t>J</t>
        </is>
      </c>
      <c r="E78" s="4" t="inlineStr">
        <is>
          <t>The effects of poverty on childhood brain development: the mediating effect of caregiving and stressful life events.</t>
        </is>
      </c>
      <c r="F78" s="3" t="inlineStr">
        <is>
          <t>JAMA pediatrics</t>
        </is>
      </c>
      <c r="G78" s="3" t="inlineStr">
        <is>
          <t>10.1001/jamapediatrics.2013.3139</t>
        </is>
      </c>
      <c r="H78" s="3" t="inlineStr">
        <is>
          <t>Luby 等 - 2013 - The effects of poverty on childhood brain development the mediating effect of caregiving and stress.pdf</t>
        </is>
      </c>
      <c r="I78" s="2" t="n"/>
      <c r="J78" s="2" t="n"/>
      <c r="K78" s="4" t="n"/>
      <c r="L78" s="4" t="n"/>
    </row>
    <row r="79" ht="32" customHeight="1">
      <c r="A79" s="2" t="n">
        <v>78</v>
      </c>
      <c r="B79" s="2" t="n">
        <v>89</v>
      </c>
      <c r="C79" s="2" t="n">
        <v>2018</v>
      </c>
      <c r="D79" s="3" t="inlineStr">
        <is>
          <t>Á</t>
        </is>
      </c>
      <c r="E79" s="4" t="inlineStr">
        <is>
          <t>Frontal theta activation associated with error detection in toddlers: influence of familial socioeconomic status.</t>
        </is>
      </c>
      <c r="F79" s="3" t="inlineStr">
        <is>
          <t>Developmental science</t>
        </is>
      </c>
      <c r="G79" s="3" t="inlineStr">
        <is>
          <t>10.1111/desc.12494</t>
        </is>
      </c>
      <c r="H79" s="3" t="inlineStr">
        <is>
          <t>Conejero 等 - 2018 - Frontal theta activation associated with error detection in toddlers influence of familial socioeco.pdf</t>
        </is>
      </c>
      <c r="I79" s="2" t="n"/>
      <c r="J79" s="2" t="n"/>
      <c r="K79" s="4" t="n"/>
      <c r="L79" s="4" t="n"/>
    </row>
    <row r="80" ht="32" customHeight="1">
      <c r="A80" s="2" t="n">
        <v>79</v>
      </c>
      <c r="B80" s="2" t="n">
        <v>90</v>
      </c>
      <c r="C80" s="2" t="n">
        <v>2021</v>
      </c>
      <c r="D80" s="3" t="inlineStr">
        <is>
          <t>K</t>
        </is>
      </c>
      <c r="E80" s="4" t="inlineStr">
        <is>
          <t>The Effect of Socioeconomic Disparities on Prefrontal Activation in Initiating Joint Attention: A Functional Near-Infrared Spectroscopy Evidence From Two Socioeconomic Status Groups.</t>
        </is>
      </c>
      <c r="F80" s="3" t="inlineStr">
        <is>
          <t>Frontiers in human neuroscience</t>
        </is>
      </c>
      <c r="G80" s="3" t="inlineStr">
        <is>
          <t>10.3389/fnhum.2021.741872</t>
        </is>
      </c>
      <c r="H80" s="3" t="inlineStr">
        <is>
          <t>Ding 等 - 2021 - The effect of socioeconomic disparities on prefrontal activation in initiating joint attention A fu.pdf</t>
        </is>
      </c>
      <c r="I80" s="2" t="n"/>
      <c r="J80" s="2" t="n"/>
      <c r="K80" s="4" t="n"/>
      <c r="L80" s="4" t="n"/>
    </row>
    <row r="81" ht="32" customHeight="1">
      <c r="A81" s="2" t="n">
        <v>80</v>
      </c>
      <c r="B81" s="2" t="n">
        <v>91</v>
      </c>
      <c r="C81" s="2" t="n">
        <v>2019</v>
      </c>
      <c r="D81" s="3" t="inlineStr">
        <is>
          <t>TK</t>
        </is>
      </c>
      <c r="E81" s="4" t="inlineStr">
        <is>
          <t>The relationship between biological and psychosocial risk factors and resting-state functional connectivity in 2-month-old Bangladeshi infants: A feasibility and pilot study.</t>
        </is>
      </c>
      <c r="F81" s="3" t="inlineStr">
        <is>
          <t>Developmental science</t>
        </is>
      </c>
      <c r="G81" s="3" t="inlineStr">
        <is>
          <t>10.1111/desc.12841</t>
        </is>
      </c>
      <c r="H81" s="3" t="inlineStr">
        <is>
          <t>Turesky 等 - 2019 - The relationship between biological and psychosocial risk factors and resting-state functional conne.pdf</t>
        </is>
      </c>
      <c r="I81" s="2" t="n"/>
      <c r="J81" s="2" t="n"/>
      <c r="K81" s="4" t="n"/>
      <c r="L81" s="4" t="n"/>
    </row>
    <row r="82" ht="32" customHeight="1">
      <c r="A82" s="2" t="n">
        <v>81</v>
      </c>
      <c r="B82" s="2" t="n">
        <v>92</v>
      </c>
      <c r="C82" s="2" t="n">
        <v>2026</v>
      </c>
      <c r="D82" s="3" t="inlineStr">
        <is>
          <t>H</t>
        </is>
      </c>
      <c r="E82" s="4" t="inlineStr">
        <is>
          <t>Income insufficiency impacts early brain development in infants facing increased psychosocial adversity: A network-based approach.</t>
        </is>
      </c>
      <c r="F82" s="3" t="inlineStr">
        <is>
          <t>Proceedings of the National Academy of Sciences of the United States of America</t>
        </is>
      </c>
      <c r="G82" s="3" t="inlineStr">
        <is>
          <t>10.1073/pnas.2513598123</t>
        </is>
      </c>
      <c r="H82" s="3" t="inlineStr">
        <is>
          <t>Chung 等 - 2026 - Income insufficiency impacts early brain development in infants facing increased psychosocial advers.pdf</t>
        </is>
      </c>
      <c r="I82" s="2" t="n"/>
      <c r="J82" s="2" t="n"/>
      <c r="K82" s="4" t="n"/>
      <c r="L82" s="4" t="n"/>
    </row>
    <row r="83" ht="32" customHeight="1">
      <c r="A83" s="2" t="n">
        <v>82</v>
      </c>
      <c r="B83" s="2" t="n">
        <v>93</v>
      </c>
      <c r="C83" s="2" t="n">
        <v>2019</v>
      </c>
      <c r="D83" s="3" t="inlineStr">
        <is>
          <t>W</t>
        </is>
      </c>
      <c r="E83" s="4" t="inlineStr">
        <is>
          <t>Growth faltering is associated with altered brain functional connectivity and cognitive outcomes in urban Bangladeshi children exposed to early adversity.</t>
        </is>
      </c>
      <c r="F83" s="3" t="inlineStr">
        <is>
          <t>BMC medicine</t>
        </is>
      </c>
      <c r="G83" s="3" t="inlineStr">
        <is>
          <t>10.1186/s12916-019-1431-5</t>
        </is>
      </c>
      <c r="H83" s="3" t="inlineStr">
        <is>
          <t>Xie 等 - 2019 - Growth faltering is associated with altered brain functional connectivity and cognitive outcomes in.pdf</t>
        </is>
      </c>
      <c r="I83" s="2" t="n"/>
      <c r="J83" s="2" t="n"/>
      <c r="K83" s="4" t="n"/>
      <c r="L83" s="4" t="n"/>
    </row>
    <row r="84" ht="32" customHeight="1">
      <c r="A84" s="2" t="n">
        <v>83</v>
      </c>
      <c r="B84" s="2" t="n">
        <v>94</v>
      </c>
      <c r="C84" s="2" t="n">
        <v>2015</v>
      </c>
      <c r="D84" s="3" t="inlineStr">
        <is>
          <t>CJ</t>
        </is>
      </c>
      <c r="E84" s="4" t="inlineStr">
        <is>
          <t>Relevance of a neurophysiological marker of attention allocation for children's learning-related behaviors and academic performance.</t>
        </is>
      </c>
      <c r="F84" s="3" t="inlineStr">
        <is>
          <t>Developmental psychology</t>
        </is>
      </c>
      <c r="G84" s="3" t="inlineStr">
        <is>
          <t>10.1037/a0039311</t>
        </is>
      </c>
      <c r="H84" s="3" t="inlineStr">
        <is>
          <t>Willner 等 - 2015 - Relevance of a neurophysiological marker of attention allocation for children’s learning-related beh.pdf</t>
        </is>
      </c>
      <c r="I84" s="2" t="n"/>
      <c r="J84" s="2" t="n"/>
      <c r="K84" s="4" t="n"/>
      <c r="L84" s="4" t="n"/>
    </row>
    <row r="85" ht="32" customHeight="1">
      <c r="A85" s="2" t="n">
        <v>84</v>
      </c>
      <c r="B85" s="2" t="n">
        <v>95</v>
      </c>
      <c r="C85" s="2" t="n">
        <v>2019</v>
      </c>
      <c r="D85" s="3" t="inlineStr">
        <is>
          <t>L</t>
        </is>
      </c>
      <c r="E85" s="4" t="inlineStr">
        <is>
          <t>Implementing neuroimaging and eye tracking methods to assess neurocognitive development of young infants in low- and middle-income countries.</t>
        </is>
      </c>
      <c r="F85" s="3" t="inlineStr">
        <is>
          <t>Gates open research</t>
        </is>
      </c>
      <c r="G85" s="3" t="inlineStr">
        <is>
          <t>10.12688/gatesopenres.12951.2</t>
        </is>
      </c>
      <c r="H85" s="3" t="inlineStr">
        <is>
          <t>Katus 等 - 2019 - Implementing neuroimaging and eye tracking methods to assess neurocognitive development of young inf.pdf</t>
        </is>
      </c>
      <c r="I85" s="2" t="n"/>
      <c r="J85" s="2" t="n"/>
      <c r="K85" s="4" t="n"/>
      <c r="L85" s="4" t="n"/>
    </row>
    <row r="86" ht="32" customHeight="1">
      <c r="A86" s="2" t="n">
        <v>85</v>
      </c>
      <c r="B86" s="2" t="n">
        <v>96</v>
      </c>
      <c r="C86" s="2" t="n">
        <v>2025</v>
      </c>
      <c r="D86" s="3" t="inlineStr">
        <is>
          <t>SD</t>
        </is>
      </c>
      <c r="E86" s="4" t="inlineStr">
        <is>
          <t>Associations between Parenting and Cognitive and Language Abilities at 2 Years of Age Depend on Prenatal Exposure to Disadvantage.</t>
        </is>
      </c>
      <c r="F86" s="3" t="inlineStr">
        <is>
          <t>The Journal of pediatrics</t>
        </is>
      </c>
      <c r="G86" s="3" t="inlineStr">
        <is>
          <t>10.1016/j.jpeds.2024.114289</t>
        </is>
      </c>
      <c r="H86" s="3" t="inlineStr">
        <is>
          <t>Leverett 等 - 2025 - Associations between parenting and cognitive and language abilities at 2 years of age depend on pren.pdf</t>
        </is>
      </c>
      <c r="I86" s="2" t="n"/>
      <c r="J86" s="2" t="n"/>
      <c r="K86" s="4" t="n"/>
      <c r="L86" s="4" t="n"/>
    </row>
    <row r="87" ht="32" customHeight="1">
      <c r="A87" s="2" t="n">
        <v>86</v>
      </c>
      <c r="B87" s="2" t="n">
        <v>97</v>
      </c>
      <c r="C87" s="2" t="n">
        <v>2021</v>
      </c>
      <c r="D87" s="3" t="inlineStr">
        <is>
          <t>S</t>
        </is>
      </c>
      <c r="E87" s="4" t="inlineStr">
        <is>
          <t>Selective Auditory Attention Associated With Language Skills but Not With Executive Functions in Swedish Preschoolers.</t>
        </is>
      </c>
      <c r="F87" s="3" t="inlineStr">
        <is>
          <t>Frontiers in psychology</t>
        </is>
      </c>
      <c r="G87" s="3" t="inlineStr">
        <is>
          <t>10.3389/fpsyg.2021.664501</t>
        </is>
      </c>
      <c r="H87" s="3" t="inlineStr">
        <is>
          <t>Tonér 等 - 2021 - Selective auditory attention associated with language skills but not with executive functions in swe.pdf</t>
        </is>
      </c>
      <c r="I87" s="2" t="n"/>
      <c r="J87" s="2" t="n"/>
      <c r="K87" s="4" t="n"/>
      <c r="L87" s="4" t="n"/>
    </row>
    <row r="88" ht="32" customHeight="1">
      <c r="A88" s="2" t="n">
        <v>87</v>
      </c>
      <c r="B88" s="2" t="n">
        <v>99</v>
      </c>
      <c r="C88" s="2" t="n">
        <v>2026</v>
      </c>
      <c r="D88" s="3" t="inlineStr">
        <is>
          <t>SD</t>
        </is>
      </c>
      <c r="E88" s="4" t="inlineStr">
        <is>
          <t>Neonatal Brain Volumes and Early Parenting Behavior as Mediators in Associations Between Prenatal Social Disadvantage and Socioemotional Problems in Toddlers.</t>
        </is>
      </c>
      <c r="F88" s="3" t="inlineStr">
        <is>
          <t>Biological psychiatry</t>
        </is>
      </c>
      <c r="G88" s="3" t="inlineStr">
        <is>
          <t>https://doi.org/10.1016/j.biopsych.2025.05.015</t>
        </is>
      </c>
      <c r="H88" s="3" t="inlineStr">
        <is>
          <t>Leverett 等 - 2026 - Neonatal brain volumes and early parenting behavior as mediators in associations between prenatal so.pdf</t>
        </is>
      </c>
      <c r="I88" s="2" t="n"/>
      <c r="J88" s="2" t="n"/>
      <c r="K88" s="4" t="n"/>
      <c r="L88" s="4" t="n"/>
    </row>
    <row r="89" ht="32" customHeight="1">
      <c r="A89" s="2" t="n">
        <v>88</v>
      </c>
      <c r="B89" s="2" t="n">
        <v>100</v>
      </c>
      <c r="C89" s="2" t="n">
        <v>2026</v>
      </c>
      <c r="D89" s="3" t="inlineStr">
        <is>
          <t>A</t>
        </is>
      </c>
      <c r="E89" s="4" t="inlineStr">
        <is>
          <t>A Longitudinal Study of Children's Hippocampal Development: Investigating Maternal Physical Activity, Depression, and Education.</t>
        </is>
      </c>
      <c r="F89" s="3" t="inlineStr">
        <is>
          <t>Developmental neurobiology</t>
        </is>
      </c>
      <c r="G89" s="3" t="inlineStr">
        <is>
          <t>10.1002/dneu.70019</t>
        </is>
      </c>
      <c r="H89" s="3" t="inlineStr">
        <is>
          <t>Aghamohammadi-Sereshki 等 - 2026 - A longitudinal study of children's hippocampal development Investigating maternal physical activity.pdf</t>
        </is>
      </c>
      <c r="I89" s="2" t="n"/>
      <c r="J89" s="2" t="n"/>
      <c r="K89" s="4" t="n"/>
      <c r="L89" s="4" t="n"/>
    </row>
    <row r="90" ht="32" customHeight="1">
      <c r="A90" s="2" t="n">
        <v>89</v>
      </c>
      <c r="B90" s="2" t="n">
        <v>101</v>
      </c>
      <c r="C90" s="2" t="n">
        <v>2012</v>
      </c>
      <c r="D90" s="3" t="inlineStr">
        <is>
          <t>C</t>
        </is>
      </c>
      <c r="E90" s="4" t="inlineStr">
        <is>
          <t>Subcortical and cortical structural central nervous system changes and attention processing deficits in preschool-aged children with prenatal methamphetamine and tobacco exposure.</t>
        </is>
      </c>
      <c r="F90" s="3" t="inlineStr">
        <is>
          <t>Developmental neuroscience</t>
        </is>
      </c>
      <c r="G90" s="3" t="inlineStr">
        <is>
          <t>10.1159/000341119</t>
        </is>
      </c>
      <c r="H90" s="3" t="inlineStr">
        <is>
          <t>Derauf 等 - 2012 - Subcortical and cortical structural central nervous system changes and attention processing deficits.pdf</t>
        </is>
      </c>
      <c r="I90" s="2" t="n"/>
      <c r="J90" s="2" t="n"/>
      <c r="K90" s="4" t="n"/>
      <c r="L90" s="4" t="n"/>
    </row>
    <row r="91" ht="32" customHeight="1">
      <c r="A91" s="2" t="n">
        <v>90</v>
      </c>
      <c r="B91" s="2" t="n">
        <v>102</v>
      </c>
      <c r="C91" s="2" t="n">
        <v>2026</v>
      </c>
      <c r="D91" s="3" t="inlineStr">
        <is>
          <t>G</t>
        </is>
      </c>
      <c r="E91" s="4" t="inlineStr">
        <is>
          <t>Parallel contributions of socioeconomic status and bilingual experiences on executive function and the brain in young children.</t>
        </is>
      </c>
      <c r="F91" s="3" t="inlineStr">
        <is>
          <t>Brain and language</t>
        </is>
      </c>
      <c r="G91" s="3" t="inlineStr">
        <is>
          <t>10.1016/j.bandl.2026.105737</t>
        </is>
      </c>
      <c r="H91" s="3" t="inlineStr">
        <is>
          <t>2026_Parallel contributions ofsocioeconomic status and bilingualexperiences.pdf</t>
        </is>
      </c>
      <c r="I91" s="2" t="n"/>
      <c r="J91" s="2" t="n"/>
      <c r="K91" s="4" t="n"/>
      <c r="L91" s="4" t="n"/>
    </row>
    <row r="92" ht="32" customHeight="1">
      <c r="A92" s="2" t="n">
        <v>91</v>
      </c>
      <c r="B92" s="2" t="n">
        <v>103</v>
      </c>
      <c r="C92" s="2" t="n">
        <v>2025</v>
      </c>
      <c r="D92" s="3" t="inlineStr">
        <is>
          <t>Leverett</t>
        </is>
      </c>
      <c r="E92" s="4" t="inlineStr">
        <is>
          <t>Neonatal brain volumes and early parenting behavior as mediators in associations between prenatal social disadvantage and socioemotional problems in toddlers</t>
        </is>
      </c>
      <c r="F92" s="3" t="inlineStr">
        <is>
          <t>Biological Psychiatry</t>
        </is>
      </c>
      <c r="G92" s="3" t="inlineStr">
        <is>
          <t>https://doi.org/10.1016/j.biopsych.2025.05.015</t>
        </is>
      </c>
      <c r="H92" s="3" t="inlineStr">
        <is>
          <t>Leverett 等 - 2026 - Neonatal brain volumes and early parenting behavior as mediators in associations between prenatal so.pdf</t>
        </is>
      </c>
      <c r="I92" s="2" t="n"/>
      <c r="J92" s="2" t="n"/>
      <c r="K92" s="4" t="n"/>
      <c r="L92" s="4" t="n"/>
    </row>
    <row r="93" ht="32" customHeight="1">
      <c r="A93" s="2" t="n">
        <v>92</v>
      </c>
      <c r="B93" s="2" t="n">
        <v>105</v>
      </c>
      <c r="C93" s="2" t="n">
        <v>2018</v>
      </c>
      <c r="D93" s="3" t="inlineStr">
        <is>
          <t>Pietto</t>
        </is>
      </c>
      <c r="E93" s="4" t="inlineStr">
        <is>
          <t>Enhancement of inhibitory control in a sample of preschoolers from poor homes after cognitive training in a kindergarten setting: Cognitive and ERP evidence</t>
        </is>
      </c>
      <c r="F93" s="3" t="inlineStr">
        <is>
          <t>Trends in Neuroscience and Education</t>
        </is>
      </c>
      <c r="G93" s="3" t="inlineStr">
        <is>
          <t>https://doi.org/10.1016/j.tine.2018.11.004</t>
        </is>
      </c>
      <c r="H93" s="3" t="inlineStr">
        <is>
          <t>Pietto 等 - 2018 - Enhancement of inhibitory control in a sample of preschoolers from poor homes after cognitive traini.pdf</t>
        </is>
      </c>
      <c r="I93" s="2" t="n"/>
      <c r="J93" s="2" t="n"/>
      <c r="K93" s="4" t="n"/>
      <c r="L93" s="4" t="n"/>
    </row>
    <row r="94" ht="32" customHeight="1">
      <c r="A94" s="2" t="n">
        <v>93</v>
      </c>
      <c r="B94" s="2" t="n">
        <v>106</v>
      </c>
      <c r="C94" s="2" t="n">
        <v>2013</v>
      </c>
      <c r="D94" s="3" t="inlineStr">
        <is>
          <t>Tomalski</t>
        </is>
      </c>
      <c r="E94" s="4" t="inlineStr">
        <is>
          <t>Socioeconomic status and functional brain development—Associations in early infancy</t>
        </is>
      </c>
      <c r="F94" s="3" t="inlineStr">
        <is>
          <t>Developmental Science</t>
        </is>
      </c>
      <c r="G94" s="3" t="inlineStr">
        <is>
          <t>https://doi.org/10.1111/desc.12079</t>
        </is>
      </c>
      <c r="H94" s="3" t="inlineStr">
        <is>
          <t>Tomalski 等 - 2013 - Socioeconomic status and functional brain development – associations in early infancy.pdf</t>
        </is>
      </c>
      <c r="I94" s="2" t="n"/>
      <c r="J94" s="2" t="n"/>
      <c r="K94" s="4" t="n"/>
      <c r="L94" s="4" t="n"/>
    </row>
    <row r="95" ht="32" customHeight="1">
      <c r="A95" s="2" t="n">
        <v>94</v>
      </c>
      <c r="B95" s="2" t="n">
        <v>107</v>
      </c>
      <c r="C95" s="2" t="n">
        <v>2009</v>
      </c>
      <c r="D95" s="3" t="inlineStr">
        <is>
          <t>Sheinkopf</t>
        </is>
      </c>
      <c r="E95" s="4" t="inlineStr">
        <is>
          <t>Functional MRI and response inhibition in children exposed to cocaine in utero</t>
        </is>
      </c>
      <c r="F95" s="3" t="inlineStr">
        <is>
          <t>Developmental Neuroscience</t>
        </is>
      </c>
      <c r="G95" s="3" t="inlineStr">
        <is>
          <t>https://doi.org/10.1159/000207503</t>
        </is>
      </c>
      <c r="H95" s="3" t="inlineStr">
        <is>
          <t>Sheinkopf 等 - 2009 - Functional MRI and response inhibition in children exposed to cocaine in utero.pdf</t>
        </is>
      </c>
      <c r="I95" s="2" t="n"/>
      <c r="J95" s="2" t="n"/>
      <c r="K95" s="4" t="n"/>
      <c r="L95" s="4" t="n"/>
    </row>
    <row r="96" ht="32" customHeight="1">
      <c r="A96" s="2" t="n">
        <v>95</v>
      </c>
      <c r="B96" s="2" t="n">
        <v>108</v>
      </c>
      <c r="C96" s="2" t="n">
        <v>1969</v>
      </c>
      <c r="D96" s="3" t="inlineStr">
        <is>
          <t>Greenberg</t>
        </is>
      </c>
      <c r="E96" s="4" t="inlineStr">
        <is>
          <t>Developmental and clinical correlates of cerebral dysrythmia</t>
        </is>
      </c>
      <c r="F96" s="3" t="inlineStr">
        <is>
          <t>Archives of General Psychiatry</t>
        </is>
      </c>
      <c r="G96" s="3" t="inlineStr">
        <is>
          <t>https://doi.org/10.1001/archpsyc.1969.01740230083012</t>
        </is>
      </c>
      <c r="H96" s="3" t="inlineStr">
        <is>
          <t>Greenberg - 1969 - Developmental and clinical correlates of cerebral dysrythmia.pdf</t>
        </is>
      </c>
      <c r="I96" s="2" t="n"/>
      <c r="J96" s="2" t="n"/>
      <c r="K96" s="4" t="n"/>
      <c r="L96" s="4" t="n"/>
    </row>
    <row r="97" ht="32" customHeight="1">
      <c r="A97" s="2" t="n">
        <v>96</v>
      </c>
      <c r="B97" s="2" t="n">
        <v>109</v>
      </c>
      <c r="C97" s="2" t="n">
        <v>2026</v>
      </c>
      <c r="D97" s="3" t="inlineStr">
        <is>
          <t>Tretow</t>
        </is>
      </c>
      <c r="E97" s="4" t="inlineStr">
        <is>
          <t>The longitudinal interplay of print exposure and auditory brain responses in the prediction of reading skills</t>
        </is>
      </c>
      <c r="F97" s="3" t="inlineStr">
        <is>
          <t>BRAIN AND LANGUAGE</t>
        </is>
      </c>
      <c r="G97" s="3" t="inlineStr">
        <is>
          <t>10.1016/j.bandl.2025.105671</t>
        </is>
      </c>
      <c r="H97" s="3" t="inlineStr">
        <is>
          <t>2025_The longitudinal interplay ofprint exposure and auditory brainresponses.pdf</t>
        </is>
      </c>
      <c r="I97" s="2" t="n"/>
      <c r="J97" s="2" t="n"/>
      <c r="K97" s="4" t="n"/>
      <c r="L97" s="4" t="n"/>
    </row>
    <row r="98" ht="32" customHeight="1">
      <c r="A98" s="2" t="n">
        <v>97</v>
      </c>
      <c r="B98" s="2" t="n">
        <v>113</v>
      </c>
      <c r="C98" s="2" t="n">
        <v>2018</v>
      </c>
      <c r="D98" s="3" t="inlineStr">
        <is>
          <t>Leijser</t>
        </is>
      </c>
      <c r="E98" s="4" t="inlineStr">
        <is>
          <t>Imaging Evidence of the Effect of Socio-Economic Status on Brain Structure and Development</t>
        </is>
      </c>
      <c r="F98" s="3" t="inlineStr">
        <is>
          <t>SEMINARS IN PEDIATRIC NEUROLOGY</t>
        </is>
      </c>
      <c r="G98" s="3" t="inlineStr">
        <is>
          <t>10.1016/j.spen.2018.03.004</t>
        </is>
      </c>
      <c r="H98" s="3" t="inlineStr">
        <is>
          <t>Leijser 等 - 2018 - Imaging evidence of the effect of socio-economic status on brain structure and development.pdf</t>
        </is>
      </c>
      <c r="I98" s="2" t="n"/>
      <c r="J98" s="2" t="n"/>
      <c r="K98" s="4" t="n"/>
      <c r="L98" s="4" t="n"/>
    </row>
    <row r="99" ht="32" customHeight="1">
      <c r="A99" s="2" t="n">
        <v>98</v>
      </c>
      <c r="B99" s="2" t="n">
        <v>114</v>
      </c>
      <c r="C99" s="2" t="n">
        <v>2019</v>
      </c>
      <c r="D99" s="3" t="inlineStr">
        <is>
          <t>Kelly</t>
        </is>
      </c>
      <c r="E99" s="4" t="inlineStr">
        <is>
          <t>Poverty, Toxic Stress, and Education in Children Born Preterm</t>
        </is>
      </c>
      <c r="F99" s="3" t="inlineStr">
        <is>
          <t>NURSING RESEARCH</t>
        </is>
      </c>
      <c r="G99" s="3" t="inlineStr">
        <is>
          <t>10.1097/NNR.0000000000000360</t>
        </is>
      </c>
      <c r="H99" s="3" t="inlineStr">
        <is>
          <t>Kelly和Li - 2019 - Poverty, toxic stress, and education in children born preterm.pdf</t>
        </is>
      </c>
      <c r="I99" s="2" t="n"/>
      <c r="J99" s="2" t="n"/>
      <c r="K99" s="4" t="n"/>
      <c r="L99" s="4" t="n"/>
    </row>
    <row r="100" ht="32" customHeight="1">
      <c r="A100" s="2" t="n">
        <v>99</v>
      </c>
      <c r="B100" s="2" t="n">
        <v>116</v>
      </c>
      <c r="C100" s="2" t="n">
        <v>1983</v>
      </c>
      <c r="D100" s="3" t="inlineStr">
        <is>
          <t>CHERNICK</t>
        </is>
      </c>
      <c r="E100" s="4" t="inlineStr">
        <is>
          <t>EFFECTS OF MATERNAL ALCOHOL INTAKE AND SMOKING ON NEONATAL ELECTROENCEPHALOGRAM AND ANTHROPOMETRIC MEASUREMENTS</t>
        </is>
      </c>
      <c r="F100" s="3" t="inlineStr">
        <is>
          <t>AMERICAN JOURNAL OF OBSTETRICS AND GYNECOLOGY</t>
        </is>
      </c>
      <c r="G100" s="3" t="inlineStr">
        <is>
          <t>10.1016/0002-9378(83)90924-9</t>
        </is>
      </c>
      <c r="H100" s="3" t="inlineStr">
        <is>
          <t>Chernick 等 - 1983 - Effects of maternal alcohol intake and smoking on neonatal electroencephalogram and anthropometric m.pdf</t>
        </is>
      </c>
      <c r="I100" s="2" t="n"/>
      <c r="J100" s="2" t="n"/>
      <c r="K100" s="4" t="n"/>
      <c r="L100" s="4" t="n"/>
    </row>
    <row r="101" ht="32" customHeight="1">
      <c r="A101" s="2" t="n">
        <v>100</v>
      </c>
      <c r="B101" s="2" t="n">
        <v>118</v>
      </c>
      <c r="C101" s="2" t="n">
        <v>2021</v>
      </c>
      <c r="D101" s="3" t="inlineStr">
        <is>
          <t>Romeo</t>
        </is>
      </c>
      <c r="E101" s="4" t="inlineStr">
        <is>
          <t>Neuroplasticity associated with changes in conversational turn-taking following a family-based intervention</t>
        </is>
      </c>
      <c r="F101" s="3" t="inlineStr">
        <is>
          <t>DEVELOPMENTAL COGNITIVE NEUROSCIENCE</t>
        </is>
      </c>
      <c r="G101" s="3" t="inlineStr">
        <is>
          <t>10.1016/j.dcn.2021.100967</t>
        </is>
      </c>
      <c r="H101" s="3" t="inlineStr">
        <is>
          <t>Romeo 等 - 2021 - Neuroplasticity associated with changes in conversational turn-taking following a family-based inter.pdf</t>
        </is>
      </c>
      <c r="I101" s="2" t="n"/>
      <c r="J101" s="2" t="n"/>
      <c r="K101" s="4" t="n"/>
      <c r="L101" s="4" t="n"/>
    </row>
    <row r="102" ht="32" customHeight="1">
      <c r="A102" s="2" t="n">
        <v>101</v>
      </c>
      <c r="B102" s="2" t="n">
        <v>119</v>
      </c>
      <c r="C102" s="2" t="n">
        <v>2021</v>
      </c>
      <c r="D102" s="3" t="inlineStr">
        <is>
          <t>Ramphal</t>
        </is>
      </c>
      <c r="E102" s="4" t="inlineStr">
        <is>
          <t>Timing-specific associations between income-to-needs ratio and hippocampal and amygdala volumes in middle childhood: A preliminary study</t>
        </is>
      </c>
      <c r="F102" s="3" t="inlineStr">
        <is>
          <t>Developmental Psychobiology</t>
        </is>
      </c>
      <c r="G102" s="3" t="inlineStr">
        <is>
          <t>10.1002/dev.22153</t>
        </is>
      </c>
      <c r="H102" s="3" t="inlineStr">
        <is>
          <t>2021_Timing-specific associations between income-to-needs ratio and hippocampal.pdf</t>
        </is>
      </c>
      <c r="I102" s="2" t="n"/>
      <c r="J102" s="2" t="n"/>
      <c r="K102" s="4" t="n"/>
      <c r="L102" s="4" t="n"/>
    </row>
    <row r="103" ht="32" customHeight="1">
      <c r="A103" s="2" t="n">
        <v>102</v>
      </c>
      <c r="B103" s="2" t="n">
        <v>122</v>
      </c>
      <c r="C103" s="2" t="n">
        <v>2024</v>
      </c>
      <c r="D103" s="3" t="inlineStr">
        <is>
          <t>Brandes-Aitken</t>
        </is>
      </c>
      <c r="E103" s="4" t="inlineStr">
        <is>
          <t>Maternal heart rate variability at 3-months postpartum is associated with maternal mental health and infant neurophysiology</t>
        </is>
      </c>
      <c r="F103" s="3" t="inlineStr">
        <is>
          <t>Scientific Reports</t>
        </is>
      </c>
      <c r="G103" s="3" t="inlineStr">
        <is>
          <t>10.1038/s41598-024-68398-4</t>
        </is>
      </c>
      <c r="H103" s="3" t="inlineStr">
        <is>
          <t>Brandes-Aitken 等 - 2024 - Maternal heart rate variability at 3-months postpartum is associated with maternal mental health and.pdf</t>
        </is>
      </c>
      <c r="I103" s="2" t="n"/>
      <c r="J103" s="2" t="n"/>
      <c r="K103" s="4" t="n"/>
      <c r="L103" s="4" t="n"/>
    </row>
    <row r="104" ht="32" customHeight="1">
      <c r="A104" s="2" t="n">
        <v>103</v>
      </c>
      <c r="B104" s="2" t="n">
        <v>123</v>
      </c>
      <c r="C104" s="2" t="n">
        <v>2021</v>
      </c>
      <c r="D104" s="3" t="inlineStr">
        <is>
          <t>Simon</t>
        </is>
      </c>
      <c r="E104" s="4" t="inlineStr">
        <is>
          <t>Socioeconomic factors, stress, hair cortisol, and white matter microstructure in children</t>
        </is>
      </c>
      <c r="F104" s="3" t="inlineStr">
        <is>
          <t>Developmental Psychobiology</t>
        </is>
      </c>
      <c r="G104" s="3" t="inlineStr">
        <is>
          <t>10.1002/dev.22147</t>
        </is>
      </c>
      <c r="H104" s="3" t="inlineStr">
        <is>
          <t>Simon 等 - 2021 - Socioeconomic factors, stress, hair cortisol, and white matter microstructure in children.pdf</t>
        </is>
      </c>
      <c r="I104" s="2" t="n"/>
      <c r="J104" s="2" t="n"/>
      <c r="K104" s="4" t="n"/>
      <c r="L104" s="4" t="n"/>
    </row>
    <row r="105" ht="32" customHeight="1">
      <c r="A105" s="2" t="n">
        <v>104</v>
      </c>
      <c r="B105" s="2" t="n">
        <v>124</v>
      </c>
      <c r="C105" s="2" t="n">
        <v>2016</v>
      </c>
      <c r="D105" s="3" t="inlineStr">
        <is>
          <t>Ursache</t>
        </is>
      </c>
      <c r="E105" s="4" t="inlineStr">
        <is>
          <t>Socioeconomic status, white matter, and executive function in children</t>
        </is>
      </c>
      <c r="F105" s="3" t="inlineStr">
        <is>
          <t>Brain and Behavior</t>
        </is>
      </c>
      <c r="G105" s="3" t="inlineStr">
        <is>
          <t>10.1002/brb3.531</t>
        </is>
      </c>
      <c r="H105" s="3" t="inlineStr">
        <is>
          <t>Ursache 等 - 2016 - Socioeconomic status, white matter, and executive function in children.pdf</t>
        </is>
      </c>
      <c r="I105" s="2" t="n"/>
      <c r="J105" s="2" t="n"/>
      <c r="K105" s="4" t="n"/>
      <c r="L105" s="4" t="n"/>
    </row>
    <row r="106" ht="32" customHeight="1">
      <c r="A106" s="2" t="n">
        <v>105</v>
      </c>
      <c r="B106" s="2" t="n">
        <v>125</v>
      </c>
      <c r="C106" s="2" t="n">
        <v>2019</v>
      </c>
      <c r="D106" s="3" t="inlineStr">
        <is>
          <t>Faghiri</t>
        </is>
      </c>
      <c r="E106" s="4" t="inlineStr">
        <is>
          <t>Brain Development Includes Linear and Multiple Nonlinear Trajectories: A Cross-Sectional Resting-State Functional Magnetic Resonance Imaging Study</t>
        </is>
      </c>
      <c r="F106" s="3" t="inlineStr">
        <is>
          <t>Brain Connectivity</t>
        </is>
      </c>
      <c r="G106" s="3" t="inlineStr">
        <is>
          <t>10.1089/brain.2018.0641</t>
        </is>
      </c>
      <c r="H106" s="3" t="inlineStr">
        <is>
          <t>Faghiri 等 - 2019 - Brain development includes linear and multiple nonlinear trajectories A cross-sectional resting-sta.pdf</t>
        </is>
      </c>
      <c r="I106" s="2" t="n"/>
      <c r="J106" s="2" t="n"/>
      <c r="K106" s="4" t="n"/>
      <c r="L106" s="4" t="n"/>
    </row>
    <row r="107" ht="32" customHeight="1">
      <c r="A107" s="2" t="n">
        <v>106</v>
      </c>
      <c r="B107" s="2" t="n">
        <v>126</v>
      </c>
      <c r="C107" s="2" t="n">
        <v>2020</v>
      </c>
      <c r="D107" s="3" t="inlineStr">
        <is>
          <t>Willner</t>
        </is>
      </c>
      <c r="E107" s="4" t="inlineStr">
        <is>
          <t>Neurophysiological evidence for distinct biases in emotional face processing associated with internalizing and externalizing symptoms in children</t>
        </is>
      </c>
      <c r="F107" s="3" t="inlineStr">
        <is>
          <t>Biological Psychology</t>
        </is>
      </c>
      <c r="G107" s="3" t="inlineStr">
        <is>
          <t>10.1016/j.biopsycho.2019.107829</t>
        </is>
      </c>
      <c r="H107" s="3" t="inlineStr">
        <is>
          <t>Willner 等 - 2020 - Neurophysiological evidence for distinct biases in emotional face processing associated with interna.pdf</t>
        </is>
      </c>
      <c r="I107" s="2" t="n"/>
      <c r="J107" s="2" t="n"/>
      <c r="K107" s="4" t="n"/>
      <c r="L107" s="4" t="n"/>
    </row>
    <row r="108" ht="32" customHeight="1">
      <c r="A108" s="2" t="n">
        <v>107</v>
      </c>
      <c r="B108" s="2" t="n">
        <v>128</v>
      </c>
      <c r="C108" s="2" t="n">
        <v>2015</v>
      </c>
      <c r="D108" s="3" t="inlineStr">
        <is>
          <t>Stevens</t>
        </is>
      </c>
      <c r="E108" s="4" t="inlineStr">
        <is>
          <t>Atypical auditory refractory periods in children from lower socio-economic status backgrounds: ERP evidence for a role of selective attention</t>
        </is>
      </c>
      <c r="F108" s="3" t="inlineStr">
        <is>
          <t>International Journal of Psychophysiology</t>
        </is>
      </c>
      <c r="G108" s="3" t="inlineStr">
        <is>
          <t>10.1016/j.ijpsycho.2014.06.017</t>
        </is>
      </c>
      <c r="H108" s="3" t="inlineStr">
        <is>
          <t>Stevens 等 - 2015 - Atypical auditory refractory periods in children from lower socio-economic status backgrounds ERP e.pdf</t>
        </is>
      </c>
      <c r="I108" s="2" t="n"/>
      <c r="J108" s="2" t="n"/>
      <c r="K108" s="4" t="n"/>
      <c r="L108" s="4" t="n"/>
    </row>
    <row r="109" ht="32" customHeight="1">
      <c r="A109" s="2" t="n">
        <v>108</v>
      </c>
      <c r="B109" s="2" t="n">
        <v>129</v>
      </c>
      <c r="C109" s="2" t="n">
        <v>2017</v>
      </c>
      <c r="D109" s="3" t="inlineStr">
        <is>
          <t>Lewinn</t>
        </is>
      </c>
      <c r="E109" s="4" t="inlineStr">
        <is>
          <t>Sample composition alters associations between age and brain structure</t>
        </is>
      </c>
      <c r="F109" s="3" t="inlineStr">
        <is>
          <t>Nature Communications</t>
        </is>
      </c>
      <c r="G109" s="3" t="inlineStr">
        <is>
          <t>10.1038/s41467-017-00908-7</t>
        </is>
      </c>
      <c r="H109" s="3" t="inlineStr">
        <is>
          <t>LeWinn 等 - 2017 - Sample composition alters associations between age and brain structure.pdf</t>
        </is>
      </c>
      <c r="I109" s="2" t="n"/>
      <c r="J109" s="2" t="n"/>
      <c r="K109" s="4" t="n"/>
      <c r="L109" s="4" t="n"/>
    </row>
    <row r="110" ht="32" customHeight="1">
      <c r="A110" s="2" t="n">
        <v>109</v>
      </c>
      <c r="B110" s="2" t="n">
        <v>132</v>
      </c>
      <c r="C110" s="2" t="n">
        <v>2010</v>
      </c>
      <c r="D110" s="3" t="inlineStr">
        <is>
          <t>Lange</t>
        </is>
      </c>
      <c r="E110" s="4" t="inlineStr">
        <is>
          <t>Associations between IQ, total and regional brain volumes, and demography in a large normative sample of healthy children and adolescents</t>
        </is>
      </c>
      <c r="F110" s="3" t="inlineStr">
        <is>
          <t>Developmental Neuropsychology</t>
        </is>
      </c>
      <c r="G110" s="3" t="inlineStr">
        <is>
          <t>10.1080/87565641003696833</t>
        </is>
      </c>
      <c r="H110" s="3" t="inlineStr">
        <is>
          <t>Lange 等 - 2010 - Associations between IQ, total and regional brain volumes, and demography in a large normative sampl.pdf</t>
        </is>
      </c>
      <c r="I110" s="2" t="n"/>
      <c r="J110" s="2" t="n"/>
      <c r="K110" s="4" t="n"/>
      <c r="L110" s="4" t="n"/>
    </row>
  </sheetData>
  <autoFilter ref="A1:L110"/>
  <conditionalFormatting sqref="A2:L110">
    <cfRule type="expression" priority="1" dxfId="0">
      <formula>$I2="纳入"</formula>
    </cfRule>
    <cfRule type="expression" priority="2" dxfId="1">
      <formula>$I2="排除"</formula>
    </cfRule>
    <cfRule type="expression" priority="3" dxfId="2">
      <formula>$I2="不确定"</formula>
    </cfRule>
  </conditionalFormatting>
  <dataValidations count="2">
    <dataValidation sqref="I2:I110" showDropDown="0" showInputMessage="0" showErrorMessage="0" allowBlank="1" type="list">
      <formula1>"纳入,排除,不确定"</formula1>
    </dataValidation>
    <dataValidation sqref="J2:J110" showDropDown="0" showInputMessage="0" showErrorMessage="0" allowBlank="1" type="list">
      <formula1>"E1-年龄不符,E2-暴露不符,E3-无神经指标,E4-综述/protocol,E5-非英文,E6-全文不可及,E7-样本重复,E8-其他"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</cols>
  <sheetData>
    <row r="1" ht="28" customHeight="1">
      <c r="A1" s="5" t="inlineStr">
        <is>
          <t>Paper-02 第三轮全文筛选 — 进度统计</t>
        </is>
      </c>
    </row>
    <row r="2" ht="18" customHeight="1">
      <c r="A2" s="6" t="inlineStr">
        <is>
          <t>指标</t>
        </is>
      </c>
      <c r="B2" s="6" t="inlineStr">
        <is>
          <t>数量</t>
        </is>
      </c>
      <c r="C2" s="6" t="inlineStr">
        <is>
          <t>说明</t>
        </is>
      </c>
    </row>
    <row r="3" ht="18" customHeight="1">
      <c r="A3" s="7" t="inlineStr">
        <is>
          <t>输入总数</t>
        </is>
      </c>
      <c r="B3" s="7">
        <f>COUNTA(第三轮全文筛选!A2:A110)</f>
        <v/>
      </c>
      <c r="C3" s="7" t="inlineStr">
        <is>
          <t>进入第三轮的条目</t>
        </is>
      </c>
    </row>
    <row r="4" ht="18" customHeight="1">
      <c r="A4" s="7" t="inlineStr">
        <is>
          <t>已完成判决</t>
        </is>
      </c>
      <c r="B4" s="7">
        <f>COUNTA(第三轮全文筛选!I2:I110)</f>
        <v/>
      </c>
      <c r="C4" s="7" t="inlineStr">
        <is>
          <t>已填写筛选结果</t>
        </is>
      </c>
    </row>
    <row r="5" ht="18" customHeight="1">
      <c r="A5" s="7" t="inlineStr">
        <is>
          <t>待判决</t>
        </is>
      </c>
      <c r="B5" s="7">
        <f>B4-B5</f>
        <v/>
      </c>
      <c r="C5" s="7" t="inlineStr">
        <is>
          <t>尚未填写</t>
        </is>
      </c>
    </row>
    <row r="6" ht="18" customHeight="1">
      <c r="A6" s="7" t="inlineStr">
        <is>
          <t>完成进度</t>
        </is>
      </c>
      <c r="B6" s="8">
        <f>IFERROR(B5/B4,0)</f>
        <v/>
      </c>
      <c r="C6" s="7" t="inlineStr"/>
    </row>
    <row r="7" ht="18" customHeight="1">
      <c r="A7" s="7" t="inlineStr"/>
      <c r="B7" s="7" t="inlineStr"/>
      <c r="C7" s="7" t="inlineStr"/>
    </row>
    <row r="8" ht="18" customHeight="1">
      <c r="A8" s="7" t="inlineStr">
        <is>
          <t>纳入</t>
        </is>
      </c>
      <c r="B8" s="7">
        <f>COUNTIF(第三轮全文筛选!I$2:I$110,"纳入")</f>
        <v/>
      </c>
      <c r="C8" s="7" t="inlineStr">
        <is>
          <t>最终纳入数</t>
        </is>
      </c>
    </row>
    <row r="9" ht="18" customHeight="1">
      <c r="A9" s="7" t="inlineStr">
        <is>
          <t>排除</t>
        </is>
      </c>
      <c r="B9" s="7">
        <f>COUNTIF(第三轮全文筛选!I$2:I$110,"排除")</f>
        <v/>
      </c>
      <c r="C9" s="7" t="inlineStr"/>
    </row>
    <row r="10" ht="18" customHeight="1">
      <c r="A10" s="7" t="inlineStr">
        <is>
          <t>不确定</t>
        </is>
      </c>
      <c r="B10" s="7">
        <f>COUNTIF(第三轮全文筛选!I$2:I$110,"不确定")</f>
        <v/>
      </c>
      <c r="C10" s="7" t="inlineStr">
        <is>
          <t>待进一步确认</t>
        </is>
      </c>
    </row>
    <row r="11" ht="18" customHeight="1">
      <c r="A11" s="7" t="inlineStr"/>
      <c r="B11" s="7" t="inlineStr"/>
      <c r="C11" s="7" t="inlineStr"/>
    </row>
    <row r="12" ht="18" customHeight="1">
      <c r="A12" s="6" t="inlineStr">
        <is>
          <t>排除代码明细</t>
        </is>
      </c>
      <c r="B12" s="6" t="inlineStr"/>
      <c r="C12" s="6" t="inlineStr"/>
    </row>
    <row r="13" ht="18" customHeight="1">
      <c r="A13" s="7" t="inlineStr">
        <is>
          <t>E1 年龄不符</t>
        </is>
      </c>
      <c r="B13" s="7">
        <f>COUNTIF(第三轮全文筛选!J$2:J$110,"E1-年龄不符")</f>
        <v/>
      </c>
      <c r="C13" s="7" t="inlineStr">
        <is>
          <t>样本非0-8岁/纯临床</t>
        </is>
      </c>
    </row>
    <row r="14" ht="18" customHeight="1">
      <c r="A14" s="7" t="inlineStr">
        <is>
          <t>E2 暴露不符</t>
        </is>
      </c>
      <c r="B14" s="7">
        <f>COUNTIF(第三轮全文筛选!J$2:J$110,"E2-暴露不符")</f>
        <v/>
      </c>
      <c r="C14" s="7" t="inlineStr">
        <is>
          <t>非父母教育/教育效应不可提取</t>
        </is>
      </c>
    </row>
    <row r="15" ht="18" customHeight="1">
      <c r="A15" s="7" t="inlineStr">
        <is>
          <t>E3 无神经指标</t>
        </is>
      </c>
      <c r="B15" s="7">
        <f>COUNTIF(第三轮全文筛选!J$2:J$110,"E3-无神经指标")</f>
        <v/>
      </c>
      <c r="C15" s="7" t="inlineStr">
        <is>
          <t>仅行为/认知/问卷结局</t>
        </is>
      </c>
    </row>
    <row r="16" ht="18" customHeight="1">
      <c r="A16" s="7" t="inlineStr">
        <is>
          <t>E4 综述/protocol</t>
        </is>
      </c>
      <c r="B16" s="7">
        <f>COUNTIF(第三轮全文筛选!J$2:J$110,"E4-综述/protocol")</f>
        <v/>
      </c>
      <c r="C16" s="7" t="inlineStr">
        <is>
          <t>综述/元分析/protocol</t>
        </is>
      </c>
    </row>
    <row r="17" ht="18" customHeight="1">
      <c r="A17" s="7" t="inlineStr">
        <is>
          <t>E5 非英文</t>
        </is>
      </c>
      <c r="B17" s="7">
        <f>COUNTIF(第三轮全文筛选!J$2:J$110,"E5-非英文")</f>
        <v/>
      </c>
      <c r="C17" s="7" t="inlineStr">
        <is>
          <t>全文非英文</t>
        </is>
      </c>
    </row>
    <row r="18" ht="18" customHeight="1">
      <c r="A18" s="7" t="inlineStr">
        <is>
          <t>E6 全文不可及</t>
        </is>
      </c>
      <c r="B18" s="7">
        <f>COUNTIF(第三轮全文筛选!J$2:J$110,"E6-全文不可及")</f>
        <v/>
      </c>
      <c r="C18" s="7" t="inlineStr">
        <is>
          <t>先补下载再标E6</t>
        </is>
      </c>
    </row>
    <row r="19" ht="18" customHeight="1">
      <c r="A19" s="7" t="inlineStr">
        <is>
          <t>E7 样本重复</t>
        </is>
      </c>
      <c r="B19" s="7">
        <f>COUNTIF(第三轮全文筛选!J$2:J$110,"E7-样本重复")</f>
        <v/>
      </c>
      <c r="C19" s="7" t="inlineStr">
        <is>
          <t>同样本保留主要文章</t>
        </is>
      </c>
    </row>
    <row r="20" ht="18" customHeight="1">
      <c r="A20" s="7" t="inlineStr">
        <is>
          <t>E8 其他</t>
        </is>
      </c>
      <c r="B20" s="7">
        <f>COUNTIF(第三轮全文筛选!J$2:J$110,"E8-其他")</f>
        <v/>
      </c>
      <c r="C20" s="7" t="inlineStr">
        <is>
          <t>备注列说明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38" customWidth="1" min="3" max="3"/>
  </cols>
  <sheetData>
    <row r="1" ht="24" customHeight="1">
      <c r="A1" s="9" t="inlineStr">
        <is>
          <t>PICOS 第三轮全文筛选速查 — Paper-02（v1.0，2026-04-09）</t>
        </is>
      </c>
    </row>
    <row r="2" ht="18" customHeight="1">
      <c r="A2" s="10" t="inlineStr">
        <is>
          <t>维度</t>
        </is>
      </c>
      <c r="B2" s="10" t="inlineStr">
        <is>
          <t>纳入标准</t>
        </is>
      </c>
      <c r="C2" s="10" t="inlineStr">
        <is>
          <t>排除 → 代码</t>
        </is>
      </c>
    </row>
    <row r="3" ht="58" customHeight="1">
      <c r="A3" s="11" t="inlineStr">
        <is>
          <t>P 研究对象</t>
        </is>
      </c>
      <c r="B3" s="11" t="inlineStr">
        <is>
          <t>儿童，年龄范围覆盖0–8岁（含婴儿期）
若研究含多年龄组，有0–8岁子样本且单独报告结果即纳入</t>
        </is>
      </c>
      <c r="C3" s="11" t="inlineStr">
        <is>
          <t>样本年龄全部&gt;8岁 → E1
纯临床样本（早产/神经发育障碍/脑损伤/癫痫）除非有健康对照 → E1
动物研究 → E1</t>
        </is>
      </c>
    </row>
    <row r="4" ht="72" customHeight="1">
      <c r="A4" s="11" t="inlineStr">
        <is>
          <t>I/E 暴露</t>
        </is>
      </c>
      <c r="B4" s="11" t="inlineStr">
        <is>
          <t>父母教育水平作为主要暴露变量
或在回归模型中有独立Beta/b系数及统计检验
复合SES（教育+收入+职业），但教育的独立效应可单独提取</t>
        </is>
      </c>
      <c r="C4" s="11" t="inlineStr">
        <is>
          <t>SES仅为协变量，无教育独立效应量（无beta/b值）→ E2
PCA合成SES主成分，教育权重隐含 → E2
暴露为其他环境因素（缺铁/养育/虐待/干预等）→ E2</t>
        </is>
      </c>
    </row>
    <row r="5" ht="72" customHeight="1">
      <c r="A5" s="11" t="inlineStr">
        <is>
          <t>O 结局</t>
        </is>
      </c>
      <c r="B5" s="11" t="inlineStr">
        <is>
          <t>任一神经测量指标：
rsEEG（功率/连接）、ERP（MMN/P300/N400/Nc等）
fNIRS、fMRI（任务态/静息态功能连接）
DTI（FA/MD等）、structural MRI（皮层厚度/脑区体积/表面积/VBM）
MEG/MRS（若有）</t>
        </is>
      </c>
      <c r="C5" s="11" t="inlineStr">
        <is>
          <t>仅报告行为/认知结局（无神经测量）→ E3
仅主观问卷 → E3
仅眼动/生理指标（心率/皮电）→ E3</t>
        </is>
      </c>
    </row>
    <row r="6" ht="68" customHeight="1">
      <c r="A6" s="11" t="inlineStr">
        <is>
          <t>S 研究设计</t>
        </is>
      </c>
      <c r="B6" s="11" t="inlineStr">
        <is>
          <t>横断面观察性研究
纵向观察性研究（队列/随访）
RCT（若含SES×神经的子分析）</t>
        </is>
      </c>
      <c r="C6" s="11" t="inlineStr">
        <is>
          <t>综述/系统综述/元分析/叙述性综述 → E4
研究方案（protocol）/评论/社论/信件 → E4
非英文全文 → E5
无法获取全文 → E6
与已纳入研究完全相同样本重复报告 → E7</t>
        </is>
      </c>
    </row>
    <row r="7" ht="10" customHeight="1">
      <c r="A7" s="11" t="inlineStr"/>
      <c r="B7" s="11" t="inlineStr"/>
      <c r="C7" s="11" t="inlineStr"/>
    </row>
    <row r="8" ht="18" customHeight="1">
      <c r="A8" s="10" t="inlineStr">
        <is>
          <t>SES编码说明</t>
        </is>
      </c>
      <c r="B8" s="10" t="inlineStr">
        <is>
          <t>关键判断：教育效应能否单独提取</t>
        </is>
      </c>
      <c r="C8" s="10" t="inlineStr"/>
    </row>
    <row r="9" ht="22" customHeight="1">
      <c r="A9" s="11" t="inlineStr">
        <is>
          <t>edu-only</t>
        </is>
      </c>
      <c r="B9" s="11" t="inlineStr">
        <is>
          <t>单独报告父母教育效应 → 纳入</t>
        </is>
      </c>
      <c r="C9" s="11" t="inlineStr">
        <is>
          <t>备注ses_type=edu-only</t>
        </is>
      </c>
    </row>
    <row r="10" ht="22" customHeight="1">
      <c r="A10" s="11" t="inlineStr">
        <is>
          <t>composite-separable</t>
        </is>
      </c>
      <c r="B10" s="11" t="inlineStr">
        <is>
          <t>复合SES，但回归中教育有独立Beta/b系数 → 纳入</t>
        </is>
      </c>
      <c r="C10" s="11" t="inlineStr">
        <is>
          <t>备注ses_type=composite-separable</t>
        </is>
      </c>
    </row>
    <row r="11" ht="22" customHeight="1">
      <c r="A11" s="11" t="inlineStr">
        <is>
          <t>composite-inseparable</t>
        </is>
      </c>
      <c r="B11" s="11" t="inlineStr">
        <is>
          <t>PCA主成分/教育权重隐含/教育仅为协变量 → 排除E2</t>
        </is>
      </c>
      <c r="C11" s="11" t="inlineStr">
        <is>
          <t>备注ses_type=composite-inseparable</t>
        </is>
      </c>
    </row>
    <row r="12" ht="10" customHeight="1">
      <c r="A12" s="11" t="inlineStr"/>
      <c r="B12" s="11" t="inlineStr"/>
      <c r="C12" s="11" t="inlineStr"/>
    </row>
    <row r="13" ht="18" customHeight="1">
      <c r="A13" s="10" t="inlineStr">
        <is>
          <t>排除代码</t>
        </is>
      </c>
      <c r="B13" s="10" t="inlineStr">
        <is>
          <t>含义</t>
        </is>
      </c>
      <c r="C13" s="10" t="inlineStr">
        <is>
          <t>操作提示</t>
        </is>
      </c>
    </row>
    <row r="14" ht="18" customHeight="1">
      <c r="A14" s="11" t="inlineStr">
        <is>
          <t>E1</t>
        </is>
      </c>
      <c r="B14" s="11" t="inlineStr">
        <is>
          <t>年龄不符/纯临床</t>
        </is>
      </c>
      <c r="C14" s="11" t="inlineStr">
        <is>
          <t>年龄范围、是否有健康对照组</t>
        </is>
      </c>
    </row>
    <row r="15" ht="18" customHeight="1">
      <c r="A15" s="11" t="inlineStr">
        <is>
          <t>E2</t>
        </is>
      </c>
      <c r="B15" s="11" t="inlineStr">
        <is>
          <t>暴露不符</t>
        </is>
      </c>
      <c r="C15" s="11" t="inlineStr">
        <is>
          <t>父母教育是否有独立beta，SES编码方案</t>
        </is>
      </c>
    </row>
    <row r="16" ht="18" customHeight="1">
      <c r="A16" s="11" t="inlineStr">
        <is>
          <t>E3</t>
        </is>
      </c>
      <c r="B16" s="11" t="inlineStr">
        <is>
          <t>无神经指标</t>
        </is>
      </c>
      <c r="C16" s="11" t="inlineStr">
        <is>
          <t>EEG/ERP/fNIRS/fMRI/DTI/MRI任一即可</t>
        </is>
      </c>
    </row>
    <row r="17" ht="18" customHeight="1">
      <c r="A17" s="11" t="inlineStr">
        <is>
          <t>E4</t>
        </is>
      </c>
      <c r="B17" s="11" t="inlineStr">
        <is>
          <t>综述/protocol</t>
        </is>
      </c>
      <c r="C17" s="11" t="inlineStr">
        <is>
          <t>标题/摘要/全文确认是否实证研究</t>
        </is>
      </c>
    </row>
    <row r="18" ht="18" customHeight="1">
      <c r="A18" s="11" t="inlineStr">
        <is>
          <t>E5</t>
        </is>
      </c>
      <c r="B18" s="11" t="inlineStr">
        <is>
          <t>非英文</t>
        </is>
      </c>
      <c r="C18" s="11" t="inlineStr">
        <is>
          <t>全文语言</t>
        </is>
      </c>
    </row>
    <row r="19" ht="18" customHeight="1">
      <c r="A19" s="11" t="inlineStr">
        <is>
          <t>E6</t>
        </is>
      </c>
      <c r="B19" s="11" t="inlineStr">
        <is>
          <t>全文不可及</t>
        </is>
      </c>
      <c r="C19" s="11" t="inlineStr">
        <is>
          <t>已有PDF的不适用此代码</t>
        </is>
      </c>
    </row>
    <row r="20" ht="18" customHeight="1">
      <c r="A20" s="11" t="inlineStr">
        <is>
          <t>E7</t>
        </is>
      </c>
      <c r="B20" s="11" t="inlineStr">
        <is>
          <t>样本重复</t>
        </is>
      </c>
      <c r="C20" s="11" t="inlineStr">
        <is>
          <t>同一样本保留报告最完整的那篇</t>
        </is>
      </c>
    </row>
    <row r="21" ht="18" customHeight="1">
      <c r="A21" s="11" t="inlineStr">
        <is>
          <t>E8</t>
        </is>
      </c>
      <c r="B21" s="11" t="inlineStr">
        <is>
          <t>其他</t>
        </is>
      </c>
      <c r="C21" s="11" t="inlineStr">
        <is>
          <t>备注列说明具体原因</t>
        </is>
      </c>
    </row>
    <row r="22" ht="10" customHeight="1">
      <c r="A22" s="11" t="inlineStr"/>
      <c r="B22" s="11" t="inlineStr"/>
      <c r="C22" s="11" t="inlineStr"/>
    </row>
    <row r="23" ht="18" customHeight="1">
      <c r="A23" s="11" t="inlineStr">
        <is>
          <t>五步快速判断</t>
        </is>
      </c>
      <c r="B23" s="11" t="inlineStr">
        <is>
          <t>① 样本有0–8岁儿童且非纯临床？      否 → E1</t>
        </is>
      </c>
      <c r="C23" s="11" t="inlineStr"/>
    </row>
    <row r="24" ht="18" customHeight="1">
      <c r="A24" s="11" t="inlineStr"/>
      <c r="B24" s="11" t="inlineStr">
        <is>
          <t>② 父母教育作为主暴露或有独立效应？  否 → E2</t>
        </is>
      </c>
      <c r="C24" s="11" t="inlineStr"/>
    </row>
    <row r="25" ht="18" customHeight="1">
      <c r="A25" s="11" t="inlineStr"/>
      <c r="B25" s="11" t="inlineStr">
        <is>
          <t>③ 报告神经测量指标（EEG/MRI等）？  否 → E3</t>
        </is>
      </c>
      <c r="C25" s="11" t="inlineStr"/>
    </row>
    <row r="26" ht="18" customHeight="1">
      <c r="A26" s="11" t="inlineStr"/>
      <c r="B26" s="11" t="inlineStr">
        <is>
          <t>④ 实证研究（非综述/protocol）？    否 → E4</t>
        </is>
      </c>
      <c r="C26" s="11" t="inlineStr"/>
    </row>
    <row r="27" ht="18" customHeight="1">
      <c r="A27" s="11" t="inlineStr"/>
      <c r="B27" s="11" t="inlineStr">
        <is>
          <t>⑤ 英文全文可获取？                 否 → E5/E6</t>
        </is>
      </c>
      <c r="C27" s="11" t="inlineStr"/>
    </row>
    <row r="28" ht="18" customHeight="1">
      <c r="A28" s="11" t="inlineStr"/>
      <c r="B28" s="11" t="inlineStr">
        <is>
          <t>⑥ 全通过 → 纳入</t>
        </is>
      </c>
      <c r="C28" s="11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2026-04-08T17:47:05Z</dcterms:created>
  <dcterms:modified xmlns:dcterms="http://purl.org/dc/terms/" xmlns:xsi="http://www.w3.org/2001/XMLSchema-instance" xsi:type="dcterms:W3CDTF">2026-04-08T17:47:05Z</dcterms:modified>
</cp:coreProperties>
</file>